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lu\molu\docs\"/>
    </mc:Choice>
  </mc:AlternateContent>
  <xr:revisionPtr revIDLastSave="0" documentId="13_ncr:1_{180D9B21-AB21-4E02-AD98-D4A5C22F4163}" xr6:coauthVersionLast="47" xr6:coauthVersionMax="47" xr10:uidLastSave="{00000000-0000-0000-0000-000000000000}"/>
  <bookViews>
    <workbookView xWindow="0" yWindow="0" windowWidth="23040" windowHeight="12960" tabRatio="814" xr2:uid="{00000000-000D-0000-FFFF-FFFF00000000}"/>
  </bookViews>
  <sheets>
    <sheet name="밸런스 계산" sheetId="8" r:id="rId1"/>
    <sheet name="DT_Mission" sheetId="9" r:id="rId2"/>
    <sheet name="DT_Status" sheetId="3" r:id="rId3"/>
    <sheet name="DT_Stat_Mon_Skeleton" sheetId="10" r:id="rId4"/>
    <sheet name="DT_Stat_Mon_Ghoul" sheetId="6" r:id="rId5"/>
    <sheet name="DT_Stat_Mon_Gobline" sheetId="5" r:id="rId6"/>
    <sheet name="DT_Spawner" sheetId="7" r:id="rId7"/>
    <sheet name="DT_Upgrade" sheetId="4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8" l="1"/>
  <c r="P7" i="8"/>
  <c r="P8" i="8"/>
  <c r="P9" i="8"/>
  <c r="P10" i="8"/>
  <c r="P11" i="8"/>
  <c r="P12" i="8"/>
  <c r="P13" i="8"/>
  <c r="P14" i="8"/>
  <c r="P15" i="8"/>
  <c r="P16" i="8"/>
  <c r="P17" i="8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P31" i="8" s="1"/>
  <c r="P32" i="8" s="1"/>
  <c r="P33" i="8" s="1"/>
  <c r="P34" i="8" s="1"/>
  <c r="P35" i="8" s="1"/>
  <c r="P36" i="8" s="1"/>
  <c r="P37" i="8" s="1"/>
  <c r="P38" i="8" s="1"/>
  <c r="P39" i="8" s="1"/>
  <c r="P40" i="8" s="1"/>
  <c r="P41" i="8" s="1"/>
  <c r="P42" i="8" s="1"/>
  <c r="P43" i="8" s="1"/>
  <c r="P44" i="8" s="1"/>
  <c r="P45" i="8" s="1"/>
  <c r="P46" i="8" s="1"/>
  <c r="P47" i="8" s="1"/>
  <c r="P48" i="8" s="1"/>
  <c r="P49" i="8" s="1"/>
  <c r="P50" i="8" s="1"/>
  <c r="P51" i="8" s="1"/>
  <c r="P52" i="8" s="1"/>
  <c r="P53" i="8" s="1"/>
  <c r="P5" i="8"/>
  <c r="AH11" i="8"/>
  <c r="AH12" i="8" s="1"/>
  <c r="G10" i="10" s="1"/>
  <c r="AG13" i="8"/>
  <c r="AG14" i="8" s="1"/>
  <c r="AG11" i="8"/>
  <c r="AG12" i="8" s="1"/>
  <c r="F10" i="10" s="1"/>
  <c r="AF11" i="8"/>
  <c r="AF12" i="8" s="1"/>
  <c r="E10" i="10" s="1"/>
  <c r="B3" i="5"/>
  <c r="C3" i="5"/>
  <c r="D3" i="5"/>
  <c r="F3" i="5"/>
  <c r="G3" i="5"/>
  <c r="B4" i="5"/>
  <c r="C4" i="5"/>
  <c r="D4" i="5"/>
  <c r="F4" i="5"/>
  <c r="G4" i="5"/>
  <c r="B5" i="5"/>
  <c r="C5" i="5"/>
  <c r="D5" i="5"/>
  <c r="F5" i="5"/>
  <c r="G5" i="5"/>
  <c r="B6" i="5"/>
  <c r="C6" i="5"/>
  <c r="D6" i="5"/>
  <c r="F6" i="5"/>
  <c r="G6" i="5"/>
  <c r="B7" i="5"/>
  <c r="C7" i="5"/>
  <c r="D7" i="5"/>
  <c r="F7" i="5"/>
  <c r="G7" i="5"/>
  <c r="B8" i="5"/>
  <c r="C8" i="5"/>
  <c r="D8" i="5"/>
  <c r="F8" i="5"/>
  <c r="G8" i="5"/>
  <c r="B9" i="5"/>
  <c r="C9" i="5"/>
  <c r="D9" i="5"/>
  <c r="F9" i="5"/>
  <c r="G9" i="5"/>
  <c r="B10" i="5"/>
  <c r="C10" i="5"/>
  <c r="D10" i="5"/>
  <c r="F10" i="5"/>
  <c r="G10" i="5"/>
  <c r="B11" i="5"/>
  <c r="C11" i="5"/>
  <c r="D11" i="5"/>
  <c r="F11" i="5"/>
  <c r="G11" i="5"/>
  <c r="B12" i="5"/>
  <c r="C12" i="5"/>
  <c r="D12" i="5"/>
  <c r="F12" i="5"/>
  <c r="G12" i="5"/>
  <c r="B13" i="5"/>
  <c r="C13" i="5"/>
  <c r="D13" i="5"/>
  <c r="F13" i="5"/>
  <c r="G13" i="5"/>
  <c r="B14" i="5"/>
  <c r="C14" i="5"/>
  <c r="D14" i="5"/>
  <c r="F14" i="5"/>
  <c r="G14" i="5"/>
  <c r="B15" i="5"/>
  <c r="C15" i="5"/>
  <c r="D15" i="5"/>
  <c r="F15" i="5"/>
  <c r="G15" i="5"/>
  <c r="B16" i="5"/>
  <c r="C16" i="5"/>
  <c r="D16" i="5"/>
  <c r="F16" i="5"/>
  <c r="G16" i="5"/>
  <c r="B17" i="5"/>
  <c r="C17" i="5"/>
  <c r="D17" i="5"/>
  <c r="F17" i="5"/>
  <c r="G17" i="5"/>
  <c r="B18" i="5"/>
  <c r="C18" i="5"/>
  <c r="D18" i="5"/>
  <c r="F18" i="5"/>
  <c r="G18" i="5"/>
  <c r="B19" i="5"/>
  <c r="C19" i="5"/>
  <c r="D19" i="5"/>
  <c r="F19" i="5"/>
  <c r="G19" i="5"/>
  <c r="B20" i="5"/>
  <c r="C20" i="5"/>
  <c r="D20" i="5"/>
  <c r="F20" i="5"/>
  <c r="G20" i="5"/>
  <c r="B21" i="5"/>
  <c r="C21" i="5"/>
  <c r="D21" i="5"/>
  <c r="F21" i="5"/>
  <c r="G21" i="5"/>
  <c r="B22" i="5"/>
  <c r="C22" i="5"/>
  <c r="D22" i="5"/>
  <c r="F22" i="5"/>
  <c r="G22" i="5"/>
  <c r="B23" i="5"/>
  <c r="C23" i="5"/>
  <c r="D23" i="5"/>
  <c r="F23" i="5"/>
  <c r="G23" i="5"/>
  <c r="B24" i="5"/>
  <c r="C24" i="5"/>
  <c r="D24" i="5"/>
  <c r="F24" i="5"/>
  <c r="G24" i="5"/>
  <c r="B25" i="5"/>
  <c r="C25" i="5"/>
  <c r="D25" i="5"/>
  <c r="F25" i="5"/>
  <c r="G25" i="5"/>
  <c r="B26" i="5"/>
  <c r="C26" i="5"/>
  <c r="D26" i="5"/>
  <c r="F26" i="5"/>
  <c r="G26" i="5"/>
  <c r="B27" i="5"/>
  <c r="C27" i="5"/>
  <c r="D27" i="5"/>
  <c r="F27" i="5"/>
  <c r="G27" i="5"/>
  <c r="B28" i="5"/>
  <c r="C28" i="5"/>
  <c r="D28" i="5"/>
  <c r="F28" i="5"/>
  <c r="G28" i="5"/>
  <c r="B29" i="5"/>
  <c r="C29" i="5"/>
  <c r="D29" i="5"/>
  <c r="F29" i="5"/>
  <c r="G29" i="5"/>
  <c r="B30" i="5"/>
  <c r="C30" i="5"/>
  <c r="D30" i="5"/>
  <c r="F30" i="5"/>
  <c r="G30" i="5"/>
  <c r="B31" i="5"/>
  <c r="C31" i="5"/>
  <c r="D31" i="5"/>
  <c r="F31" i="5"/>
  <c r="G31" i="5"/>
  <c r="B32" i="5"/>
  <c r="C32" i="5"/>
  <c r="D32" i="5"/>
  <c r="F32" i="5"/>
  <c r="G32" i="5"/>
  <c r="B33" i="5"/>
  <c r="C33" i="5"/>
  <c r="D33" i="5"/>
  <c r="F33" i="5"/>
  <c r="G33" i="5"/>
  <c r="B34" i="5"/>
  <c r="C34" i="5"/>
  <c r="D34" i="5"/>
  <c r="F34" i="5"/>
  <c r="G34" i="5"/>
  <c r="B35" i="5"/>
  <c r="C35" i="5"/>
  <c r="D35" i="5"/>
  <c r="F35" i="5"/>
  <c r="G35" i="5"/>
  <c r="B36" i="5"/>
  <c r="C36" i="5"/>
  <c r="D36" i="5"/>
  <c r="F36" i="5"/>
  <c r="G36" i="5"/>
  <c r="B37" i="5"/>
  <c r="C37" i="5"/>
  <c r="D37" i="5"/>
  <c r="F37" i="5"/>
  <c r="G37" i="5"/>
  <c r="B38" i="5"/>
  <c r="C38" i="5"/>
  <c r="D38" i="5"/>
  <c r="F38" i="5"/>
  <c r="G38" i="5"/>
  <c r="B39" i="5"/>
  <c r="C39" i="5"/>
  <c r="D39" i="5"/>
  <c r="F39" i="5"/>
  <c r="G39" i="5"/>
  <c r="B40" i="5"/>
  <c r="C40" i="5"/>
  <c r="D40" i="5"/>
  <c r="F40" i="5"/>
  <c r="G40" i="5"/>
  <c r="B41" i="5"/>
  <c r="C41" i="5"/>
  <c r="D41" i="5"/>
  <c r="F41" i="5"/>
  <c r="G41" i="5"/>
  <c r="B42" i="5"/>
  <c r="C42" i="5"/>
  <c r="D42" i="5"/>
  <c r="F42" i="5"/>
  <c r="G42" i="5"/>
  <c r="B43" i="5"/>
  <c r="C43" i="5"/>
  <c r="D43" i="5"/>
  <c r="F43" i="5"/>
  <c r="G43" i="5"/>
  <c r="B44" i="5"/>
  <c r="C44" i="5"/>
  <c r="D44" i="5"/>
  <c r="F44" i="5"/>
  <c r="G44" i="5"/>
  <c r="B45" i="5"/>
  <c r="C45" i="5"/>
  <c r="D45" i="5"/>
  <c r="F45" i="5"/>
  <c r="G45" i="5"/>
  <c r="B46" i="5"/>
  <c r="C46" i="5"/>
  <c r="D46" i="5"/>
  <c r="F46" i="5"/>
  <c r="G46" i="5"/>
  <c r="B47" i="5"/>
  <c r="C47" i="5"/>
  <c r="D47" i="5"/>
  <c r="F47" i="5"/>
  <c r="G47" i="5"/>
  <c r="B48" i="5"/>
  <c r="C48" i="5"/>
  <c r="D48" i="5"/>
  <c r="F48" i="5"/>
  <c r="G48" i="5"/>
  <c r="B49" i="5"/>
  <c r="C49" i="5"/>
  <c r="D49" i="5"/>
  <c r="F49" i="5"/>
  <c r="G49" i="5"/>
  <c r="B50" i="5"/>
  <c r="C50" i="5"/>
  <c r="D50" i="5"/>
  <c r="F50" i="5"/>
  <c r="G50" i="5"/>
  <c r="B51" i="5"/>
  <c r="C51" i="5"/>
  <c r="D51" i="5"/>
  <c r="F51" i="5"/>
  <c r="G51" i="5"/>
  <c r="B3" i="6"/>
  <c r="C3" i="6"/>
  <c r="D3" i="6"/>
  <c r="F3" i="6"/>
  <c r="G3" i="6"/>
  <c r="B4" i="6"/>
  <c r="C4" i="6"/>
  <c r="D4" i="6"/>
  <c r="F4" i="6"/>
  <c r="G4" i="6"/>
  <c r="B5" i="6"/>
  <c r="C5" i="6"/>
  <c r="D5" i="6"/>
  <c r="F5" i="6"/>
  <c r="G5" i="6"/>
  <c r="B6" i="6"/>
  <c r="C6" i="6"/>
  <c r="D6" i="6"/>
  <c r="F6" i="6"/>
  <c r="G6" i="6"/>
  <c r="B7" i="6"/>
  <c r="C7" i="6"/>
  <c r="D7" i="6"/>
  <c r="F7" i="6"/>
  <c r="G7" i="6"/>
  <c r="B8" i="6"/>
  <c r="C8" i="6"/>
  <c r="D8" i="6"/>
  <c r="F8" i="6"/>
  <c r="G8" i="6"/>
  <c r="B9" i="6"/>
  <c r="C9" i="6"/>
  <c r="D9" i="6"/>
  <c r="F9" i="6"/>
  <c r="G9" i="6"/>
  <c r="B10" i="6"/>
  <c r="C10" i="6"/>
  <c r="D10" i="6"/>
  <c r="F10" i="6"/>
  <c r="G10" i="6"/>
  <c r="B11" i="6"/>
  <c r="C11" i="6"/>
  <c r="D11" i="6"/>
  <c r="F11" i="6"/>
  <c r="G11" i="6"/>
  <c r="B12" i="6"/>
  <c r="C12" i="6"/>
  <c r="D12" i="6"/>
  <c r="F12" i="6"/>
  <c r="G12" i="6"/>
  <c r="B13" i="6"/>
  <c r="C13" i="6"/>
  <c r="D13" i="6"/>
  <c r="F13" i="6"/>
  <c r="G13" i="6"/>
  <c r="B14" i="6"/>
  <c r="C14" i="6"/>
  <c r="D14" i="6"/>
  <c r="F14" i="6"/>
  <c r="G14" i="6"/>
  <c r="B15" i="6"/>
  <c r="C15" i="6"/>
  <c r="D15" i="6"/>
  <c r="F15" i="6"/>
  <c r="G15" i="6"/>
  <c r="B16" i="6"/>
  <c r="C16" i="6"/>
  <c r="D16" i="6"/>
  <c r="F16" i="6"/>
  <c r="G16" i="6"/>
  <c r="B17" i="6"/>
  <c r="C17" i="6"/>
  <c r="D17" i="6"/>
  <c r="F17" i="6"/>
  <c r="G17" i="6"/>
  <c r="B18" i="6"/>
  <c r="C18" i="6"/>
  <c r="D18" i="6"/>
  <c r="F18" i="6"/>
  <c r="G18" i="6"/>
  <c r="B19" i="6"/>
  <c r="C19" i="6"/>
  <c r="D19" i="6"/>
  <c r="F19" i="6"/>
  <c r="G19" i="6"/>
  <c r="B20" i="6"/>
  <c r="C20" i="6"/>
  <c r="D20" i="6"/>
  <c r="F20" i="6"/>
  <c r="G20" i="6"/>
  <c r="B21" i="6"/>
  <c r="C21" i="6"/>
  <c r="D21" i="6"/>
  <c r="F21" i="6"/>
  <c r="G21" i="6"/>
  <c r="B22" i="6"/>
  <c r="C22" i="6"/>
  <c r="D22" i="6"/>
  <c r="F22" i="6"/>
  <c r="G22" i="6"/>
  <c r="B23" i="6"/>
  <c r="C23" i="6"/>
  <c r="D23" i="6"/>
  <c r="F23" i="6"/>
  <c r="G23" i="6"/>
  <c r="B24" i="6"/>
  <c r="C24" i="6"/>
  <c r="D24" i="6"/>
  <c r="F24" i="6"/>
  <c r="G24" i="6"/>
  <c r="B25" i="6"/>
  <c r="C25" i="6"/>
  <c r="D25" i="6"/>
  <c r="F25" i="6"/>
  <c r="G25" i="6"/>
  <c r="B26" i="6"/>
  <c r="C26" i="6"/>
  <c r="D26" i="6"/>
  <c r="F26" i="6"/>
  <c r="G26" i="6"/>
  <c r="B27" i="6"/>
  <c r="C27" i="6"/>
  <c r="D27" i="6"/>
  <c r="F27" i="6"/>
  <c r="G27" i="6"/>
  <c r="B28" i="6"/>
  <c r="C28" i="6"/>
  <c r="D28" i="6"/>
  <c r="F28" i="6"/>
  <c r="G28" i="6"/>
  <c r="B29" i="6"/>
  <c r="C29" i="6"/>
  <c r="D29" i="6"/>
  <c r="F29" i="6"/>
  <c r="G29" i="6"/>
  <c r="B30" i="6"/>
  <c r="C30" i="6"/>
  <c r="D30" i="6"/>
  <c r="F30" i="6"/>
  <c r="G30" i="6"/>
  <c r="B31" i="6"/>
  <c r="C31" i="6"/>
  <c r="D31" i="6"/>
  <c r="F31" i="6"/>
  <c r="G31" i="6"/>
  <c r="B32" i="6"/>
  <c r="C32" i="6"/>
  <c r="D32" i="6"/>
  <c r="F32" i="6"/>
  <c r="G32" i="6"/>
  <c r="B33" i="6"/>
  <c r="C33" i="6"/>
  <c r="D33" i="6"/>
  <c r="F33" i="6"/>
  <c r="G33" i="6"/>
  <c r="B34" i="6"/>
  <c r="C34" i="6"/>
  <c r="D34" i="6"/>
  <c r="F34" i="6"/>
  <c r="G34" i="6"/>
  <c r="B35" i="6"/>
  <c r="C35" i="6"/>
  <c r="D35" i="6"/>
  <c r="F35" i="6"/>
  <c r="G35" i="6"/>
  <c r="B36" i="6"/>
  <c r="C36" i="6"/>
  <c r="D36" i="6"/>
  <c r="F36" i="6"/>
  <c r="G36" i="6"/>
  <c r="B37" i="6"/>
  <c r="C37" i="6"/>
  <c r="D37" i="6"/>
  <c r="F37" i="6"/>
  <c r="G37" i="6"/>
  <c r="B38" i="6"/>
  <c r="C38" i="6"/>
  <c r="D38" i="6"/>
  <c r="F38" i="6"/>
  <c r="G38" i="6"/>
  <c r="B39" i="6"/>
  <c r="C39" i="6"/>
  <c r="D39" i="6"/>
  <c r="F39" i="6"/>
  <c r="G39" i="6"/>
  <c r="B40" i="6"/>
  <c r="C40" i="6"/>
  <c r="D40" i="6"/>
  <c r="F40" i="6"/>
  <c r="G40" i="6"/>
  <c r="B41" i="6"/>
  <c r="C41" i="6"/>
  <c r="D41" i="6"/>
  <c r="F41" i="6"/>
  <c r="G41" i="6"/>
  <c r="B42" i="6"/>
  <c r="C42" i="6"/>
  <c r="D42" i="6"/>
  <c r="F42" i="6"/>
  <c r="G42" i="6"/>
  <c r="B43" i="6"/>
  <c r="C43" i="6"/>
  <c r="D43" i="6"/>
  <c r="F43" i="6"/>
  <c r="G43" i="6"/>
  <c r="B44" i="6"/>
  <c r="C44" i="6"/>
  <c r="D44" i="6"/>
  <c r="F44" i="6"/>
  <c r="G44" i="6"/>
  <c r="B45" i="6"/>
  <c r="C45" i="6"/>
  <c r="D45" i="6"/>
  <c r="F45" i="6"/>
  <c r="G45" i="6"/>
  <c r="B46" i="6"/>
  <c r="C46" i="6"/>
  <c r="D46" i="6"/>
  <c r="F46" i="6"/>
  <c r="G46" i="6"/>
  <c r="B47" i="6"/>
  <c r="C47" i="6"/>
  <c r="D47" i="6"/>
  <c r="F47" i="6"/>
  <c r="G47" i="6"/>
  <c r="B48" i="6"/>
  <c r="C48" i="6"/>
  <c r="D48" i="6"/>
  <c r="F48" i="6"/>
  <c r="G48" i="6"/>
  <c r="B49" i="6"/>
  <c r="C49" i="6"/>
  <c r="D49" i="6"/>
  <c r="F49" i="6"/>
  <c r="G49" i="6"/>
  <c r="B50" i="6"/>
  <c r="C50" i="6"/>
  <c r="D50" i="6"/>
  <c r="F50" i="6"/>
  <c r="G50" i="6"/>
  <c r="B51" i="6"/>
  <c r="C51" i="6"/>
  <c r="D51" i="6"/>
  <c r="F51" i="6"/>
  <c r="G51" i="6"/>
  <c r="B4" i="10"/>
  <c r="C4" i="10"/>
  <c r="D4" i="10"/>
  <c r="E4" i="10"/>
  <c r="F4" i="10"/>
  <c r="G4" i="10"/>
  <c r="B5" i="10"/>
  <c r="C5" i="10"/>
  <c r="D5" i="10"/>
  <c r="E5" i="10"/>
  <c r="F5" i="10"/>
  <c r="G5" i="10"/>
  <c r="B6" i="10"/>
  <c r="C6" i="10"/>
  <c r="D6" i="10"/>
  <c r="E6" i="10"/>
  <c r="F6" i="10"/>
  <c r="G6" i="10"/>
  <c r="B7" i="10"/>
  <c r="C7" i="10"/>
  <c r="D7" i="10"/>
  <c r="E7" i="10"/>
  <c r="F7" i="10"/>
  <c r="G7" i="10"/>
  <c r="B8" i="10"/>
  <c r="C8" i="10"/>
  <c r="D8" i="10"/>
  <c r="F8" i="10"/>
  <c r="G8" i="10"/>
  <c r="B9" i="10"/>
  <c r="C9" i="10"/>
  <c r="D9" i="10"/>
  <c r="E9" i="10"/>
  <c r="F9" i="10"/>
  <c r="B10" i="10"/>
  <c r="C10" i="10"/>
  <c r="D10" i="10"/>
  <c r="B11" i="10"/>
  <c r="C11" i="10"/>
  <c r="D11" i="10"/>
  <c r="B12" i="10"/>
  <c r="C12" i="10"/>
  <c r="D12" i="10"/>
  <c r="B13" i="10"/>
  <c r="C13" i="10"/>
  <c r="D13" i="10"/>
  <c r="B14" i="10"/>
  <c r="C14" i="10"/>
  <c r="D14" i="10"/>
  <c r="B15" i="10"/>
  <c r="C15" i="10"/>
  <c r="D15" i="10"/>
  <c r="B16" i="10"/>
  <c r="C16" i="10"/>
  <c r="D16" i="10"/>
  <c r="B17" i="10"/>
  <c r="C17" i="10"/>
  <c r="D17" i="10"/>
  <c r="B18" i="10"/>
  <c r="C18" i="10"/>
  <c r="D18" i="10"/>
  <c r="B19" i="10"/>
  <c r="C19" i="10"/>
  <c r="D19" i="10"/>
  <c r="B20" i="10"/>
  <c r="C20" i="10"/>
  <c r="D20" i="10"/>
  <c r="B21" i="10"/>
  <c r="C21" i="10"/>
  <c r="D21" i="10"/>
  <c r="B22" i="10"/>
  <c r="C22" i="10"/>
  <c r="D22" i="10"/>
  <c r="B23" i="10"/>
  <c r="C23" i="10"/>
  <c r="D23" i="10"/>
  <c r="B24" i="10"/>
  <c r="C24" i="10"/>
  <c r="D24" i="10"/>
  <c r="B25" i="10"/>
  <c r="C25" i="10"/>
  <c r="D25" i="10"/>
  <c r="B26" i="10"/>
  <c r="C26" i="10"/>
  <c r="D26" i="10"/>
  <c r="B27" i="10"/>
  <c r="C27" i="10"/>
  <c r="D27" i="10"/>
  <c r="B28" i="10"/>
  <c r="C28" i="10"/>
  <c r="D28" i="10"/>
  <c r="B29" i="10"/>
  <c r="C29" i="10"/>
  <c r="D29" i="10"/>
  <c r="B30" i="10"/>
  <c r="C30" i="10"/>
  <c r="D30" i="10"/>
  <c r="B31" i="10"/>
  <c r="C31" i="10"/>
  <c r="D31" i="10"/>
  <c r="B32" i="10"/>
  <c r="C32" i="10"/>
  <c r="D32" i="10"/>
  <c r="B33" i="10"/>
  <c r="C33" i="10"/>
  <c r="D33" i="10"/>
  <c r="B34" i="10"/>
  <c r="C34" i="10"/>
  <c r="D34" i="10"/>
  <c r="B35" i="10"/>
  <c r="C35" i="10"/>
  <c r="D35" i="10"/>
  <c r="B36" i="10"/>
  <c r="C36" i="10"/>
  <c r="D36" i="10"/>
  <c r="B37" i="10"/>
  <c r="C37" i="10"/>
  <c r="D37" i="10"/>
  <c r="B38" i="10"/>
  <c r="C38" i="10"/>
  <c r="D38" i="10"/>
  <c r="B39" i="10"/>
  <c r="C39" i="10"/>
  <c r="D39" i="10"/>
  <c r="B40" i="10"/>
  <c r="C40" i="10"/>
  <c r="D40" i="10"/>
  <c r="B41" i="10"/>
  <c r="C41" i="10"/>
  <c r="D41" i="10"/>
  <c r="B42" i="10"/>
  <c r="C42" i="10"/>
  <c r="D42" i="10"/>
  <c r="B43" i="10"/>
  <c r="C43" i="10"/>
  <c r="D43" i="10"/>
  <c r="B44" i="10"/>
  <c r="C44" i="10"/>
  <c r="D44" i="10"/>
  <c r="B45" i="10"/>
  <c r="C45" i="10"/>
  <c r="D45" i="10"/>
  <c r="B46" i="10"/>
  <c r="C46" i="10"/>
  <c r="D46" i="10"/>
  <c r="B47" i="10"/>
  <c r="C47" i="10"/>
  <c r="D47" i="10"/>
  <c r="B48" i="10"/>
  <c r="C48" i="10"/>
  <c r="D48" i="10"/>
  <c r="B49" i="10"/>
  <c r="C49" i="10"/>
  <c r="D49" i="10"/>
  <c r="B50" i="10"/>
  <c r="C50" i="10"/>
  <c r="D50" i="10"/>
  <c r="B51" i="10"/>
  <c r="C51" i="10"/>
  <c r="D51" i="10"/>
  <c r="AD14" i="8"/>
  <c r="AD15" i="8" s="1"/>
  <c r="AD11" i="8"/>
  <c r="AD12" i="8"/>
  <c r="AD13" i="8"/>
  <c r="AC14" i="8"/>
  <c r="AC15" i="8" s="1"/>
  <c r="AC11" i="8"/>
  <c r="AC12" i="8" s="1"/>
  <c r="AC13" i="8" s="1"/>
  <c r="AH10" i="8"/>
  <c r="AG10" i="8"/>
  <c r="AF10" i="8"/>
  <c r="E8" i="10" s="1"/>
  <c r="AD10" i="8"/>
  <c r="AC10" i="8"/>
  <c r="AH8" i="8"/>
  <c r="AG8" i="8"/>
  <c r="AD8" i="8"/>
  <c r="AC8" i="8"/>
  <c r="Z10" i="8"/>
  <c r="Y10" i="8"/>
  <c r="V10" i="8"/>
  <c r="U10" i="8"/>
  <c r="U11" i="8"/>
  <c r="U12" i="8"/>
  <c r="U13" i="8" s="1"/>
  <c r="B4" i="8"/>
  <c r="B5" i="8" s="1"/>
  <c r="B3" i="10"/>
  <c r="C3" i="10"/>
  <c r="D3" i="10"/>
  <c r="E3" i="10"/>
  <c r="F3" i="10"/>
  <c r="G3" i="10"/>
  <c r="C2" i="10"/>
  <c r="D2" i="10"/>
  <c r="E2" i="10"/>
  <c r="F2" i="10"/>
  <c r="G2" i="10"/>
  <c r="B2" i="10"/>
  <c r="C2" i="6"/>
  <c r="D2" i="6"/>
  <c r="E2" i="6"/>
  <c r="F2" i="6"/>
  <c r="G2" i="6"/>
  <c r="B2" i="6"/>
  <c r="C2" i="5"/>
  <c r="D2" i="5"/>
  <c r="E2" i="5"/>
  <c r="F2" i="5"/>
  <c r="G2" i="5"/>
  <c r="B2" i="5"/>
  <c r="E4" i="6" l="1"/>
  <c r="E3" i="6"/>
  <c r="E3" i="5"/>
  <c r="AH13" i="8"/>
  <c r="AH14" i="8" s="1"/>
  <c r="AH15" i="8" s="1"/>
  <c r="G9" i="10"/>
  <c r="F12" i="10"/>
  <c r="AG15" i="8"/>
  <c r="F11" i="10"/>
  <c r="AF13" i="8"/>
  <c r="AF14" i="8" s="1"/>
  <c r="E12" i="10" s="1"/>
  <c r="AD16" i="8"/>
  <c r="AC16" i="8"/>
  <c r="Z11" i="8"/>
  <c r="Z12" i="8" s="1"/>
  <c r="Z13" i="8" s="1"/>
  <c r="Z14" i="8" s="1"/>
  <c r="Z15" i="8" s="1"/>
  <c r="Z16" i="8" s="1"/>
  <c r="Z17" i="8" s="1"/>
  <c r="Z18" i="8" s="1"/>
  <c r="Z19" i="8" s="1"/>
  <c r="Z20" i="8" s="1"/>
  <c r="Z21" i="8" s="1"/>
  <c r="Z22" i="8" s="1"/>
  <c r="Z23" i="8" s="1"/>
  <c r="Z24" i="8" s="1"/>
  <c r="Z25" i="8" s="1"/>
  <c r="Z26" i="8" s="1"/>
  <c r="Z27" i="8" s="1"/>
  <c r="Z28" i="8" s="1"/>
  <c r="Z29" i="8" s="1"/>
  <c r="Z30" i="8" s="1"/>
  <c r="Z31" i="8" s="1"/>
  <c r="Z32" i="8" s="1"/>
  <c r="Z33" i="8" s="1"/>
  <c r="Z34" i="8" s="1"/>
  <c r="Z35" i="8" s="1"/>
  <c r="Z36" i="8" s="1"/>
  <c r="Z37" i="8" s="1"/>
  <c r="Z38" i="8" s="1"/>
  <c r="Z39" i="8" s="1"/>
  <c r="Z40" i="8" s="1"/>
  <c r="Z41" i="8" s="1"/>
  <c r="Z42" i="8" s="1"/>
  <c r="Z43" i="8" s="1"/>
  <c r="Z44" i="8" s="1"/>
  <c r="Z45" i="8" s="1"/>
  <c r="Z46" i="8" s="1"/>
  <c r="Z47" i="8" s="1"/>
  <c r="Z48" i="8" s="1"/>
  <c r="Z49" i="8" s="1"/>
  <c r="Z50" i="8" s="1"/>
  <c r="Z51" i="8" s="1"/>
  <c r="Z52" i="8" s="1"/>
  <c r="Z53" i="8" s="1"/>
  <c r="V11" i="8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Y11" i="8"/>
  <c r="Y12" i="8" s="1"/>
  <c r="Y13" i="8" s="1"/>
  <c r="Y14" i="8" s="1"/>
  <c r="Y15" i="8" s="1"/>
  <c r="Y16" i="8" s="1"/>
  <c r="Y17" i="8" s="1"/>
  <c r="Y18" i="8" s="1"/>
  <c r="Y19" i="8" s="1"/>
  <c r="Y20" i="8" s="1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Y36" i="8" s="1"/>
  <c r="Y37" i="8" s="1"/>
  <c r="Y38" i="8" s="1"/>
  <c r="Y39" i="8" s="1"/>
  <c r="Y40" i="8" s="1"/>
  <c r="Y41" i="8" s="1"/>
  <c r="Y42" i="8" s="1"/>
  <c r="Y43" i="8" s="1"/>
  <c r="Y44" i="8" s="1"/>
  <c r="Y45" i="8" s="1"/>
  <c r="Y46" i="8" s="1"/>
  <c r="Y47" i="8" s="1"/>
  <c r="Y48" i="8" s="1"/>
  <c r="Y49" i="8" s="1"/>
  <c r="Y50" i="8" s="1"/>
  <c r="Y51" i="8" s="1"/>
  <c r="Y52" i="8" s="1"/>
  <c r="Y53" i="8" s="1"/>
  <c r="U14" i="8"/>
  <c r="E5" i="6" l="1"/>
  <c r="E4" i="5"/>
  <c r="G12" i="10"/>
  <c r="G11" i="10"/>
  <c r="AH16" i="8"/>
  <c r="G13" i="10"/>
  <c r="AG16" i="8"/>
  <c r="F13" i="10"/>
  <c r="AF15" i="8"/>
  <c r="E13" i="10" s="1"/>
  <c r="E11" i="10"/>
  <c r="AD17" i="8"/>
  <c r="AC17" i="8"/>
  <c r="U15" i="8"/>
  <c r="E6" i="6" l="1"/>
  <c r="E5" i="5"/>
  <c r="G14" i="10"/>
  <c r="AH17" i="8"/>
  <c r="F14" i="10"/>
  <c r="AG17" i="8"/>
  <c r="AF16" i="8"/>
  <c r="AF17" i="8" s="1"/>
  <c r="E14" i="10"/>
  <c r="AD18" i="8"/>
  <c r="AC18" i="8"/>
  <c r="U16" i="8"/>
  <c r="E7" i="6" l="1"/>
  <c r="X10" i="8"/>
  <c r="E6" i="5"/>
  <c r="AH18" i="8"/>
  <c r="G15" i="10"/>
  <c r="AG18" i="8"/>
  <c r="F15" i="10"/>
  <c r="E15" i="10"/>
  <c r="AF18" i="8"/>
  <c r="AD19" i="8"/>
  <c r="AC19" i="8"/>
  <c r="U17" i="8"/>
  <c r="E8" i="6" l="1"/>
  <c r="X11" i="8"/>
  <c r="E7" i="5"/>
  <c r="AH19" i="8"/>
  <c r="G16" i="10"/>
  <c r="F16" i="10"/>
  <c r="AG19" i="8"/>
  <c r="AF19" i="8"/>
  <c r="E16" i="10"/>
  <c r="AD20" i="8"/>
  <c r="AC20" i="8"/>
  <c r="U18" i="8"/>
  <c r="E9" i="6" l="1"/>
  <c r="X12" i="8"/>
  <c r="E8" i="5"/>
  <c r="G17" i="10"/>
  <c r="AH20" i="8"/>
  <c r="F17" i="10"/>
  <c r="AG20" i="8"/>
  <c r="E17" i="10"/>
  <c r="AF20" i="8"/>
  <c r="AD21" i="8"/>
  <c r="AC21" i="8"/>
  <c r="U19" i="8"/>
  <c r="X13" i="8" l="1"/>
  <c r="E10" i="6"/>
  <c r="E9" i="5"/>
  <c r="G18" i="10"/>
  <c r="AH21" i="8"/>
  <c r="F18" i="10"/>
  <c r="AG21" i="8"/>
  <c r="E18" i="10"/>
  <c r="AF21" i="8"/>
  <c r="AD22" i="8"/>
  <c r="AC22" i="8"/>
  <c r="U20" i="8"/>
  <c r="X14" i="8" l="1"/>
  <c r="E11" i="6"/>
  <c r="E10" i="5"/>
  <c r="AH22" i="8"/>
  <c r="G19" i="10"/>
  <c r="AG22" i="8"/>
  <c r="F19" i="10"/>
  <c r="E19" i="10"/>
  <c r="AF22" i="8"/>
  <c r="AD23" i="8"/>
  <c r="AC23" i="8"/>
  <c r="U21" i="8"/>
  <c r="X15" i="8" l="1"/>
  <c r="E12" i="6"/>
  <c r="E11" i="5"/>
  <c r="G20" i="10"/>
  <c r="AH23" i="8"/>
  <c r="AG23" i="8"/>
  <c r="F20" i="10"/>
  <c r="AF23" i="8"/>
  <c r="E20" i="10"/>
  <c r="AD24" i="8"/>
  <c r="AC24" i="8"/>
  <c r="U22" i="8"/>
  <c r="X16" i="8" l="1"/>
  <c r="E13" i="6"/>
  <c r="E12" i="5"/>
  <c r="G21" i="10"/>
  <c r="AH24" i="8"/>
  <c r="F21" i="10"/>
  <c r="AG24" i="8"/>
  <c r="E21" i="10"/>
  <c r="AF24" i="8"/>
  <c r="AD25" i="8"/>
  <c r="AC25" i="8"/>
  <c r="U23" i="8"/>
  <c r="X17" i="8" l="1"/>
  <c r="E14" i="6"/>
  <c r="E13" i="5"/>
  <c r="AH25" i="8"/>
  <c r="G22" i="10"/>
  <c r="AG25" i="8"/>
  <c r="F22" i="10"/>
  <c r="AF25" i="8"/>
  <c r="E22" i="10"/>
  <c r="AD26" i="8"/>
  <c r="AC26" i="8"/>
  <c r="U24" i="8"/>
  <c r="X18" i="8" l="1"/>
  <c r="E15" i="6"/>
  <c r="E14" i="5"/>
  <c r="AH26" i="8"/>
  <c r="G23" i="10"/>
  <c r="AG26" i="8"/>
  <c r="F23" i="10"/>
  <c r="AF26" i="8"/>
  <c r="E23" i="10"/>
  <c r="AD27" i="8"/>
  <c r="AC27" i="8"/>
  <c r="U25" i="8"/>
  <c r="X19" i="8" l="1"/>
  <c r="E16" i="6"/>
  <c r="E15" i="5"/>
  <c r="AH27" i="8"/>
  <c r="G24" i="10"/>
  <c r="AG27" i="8"/>
  <c r="F24" i="10"/>
  <c r="AF27" i="8"/>
  <c r="E24" i="10"/>
  <c r="AD28" i="8"/>
  <c r="AC28" i="8"/>
  <c r="U26" i="8"/>
  <c r="X20" i="8" l="1"/>
  <c r="E17" i="6"/>
  <c r="E16" i="5"/>
  <c r="AH28" i="8"/>
  <c r="G25" i="10"/>
  <c r="AG28" i="8"/>
  <c r="F25" i="10"/>
  <c r="E25" i="10"/>
  <c r="AF28" i="8"/>
  <c r="AD29" i="8"/>
  <c r="AC29" i="8"/>
  <c r="U27" i="8"/>
  <c r="X21" i="8" l="1"/>
  <c r="E18" i="6"/>
  <c r="E17" i="5"/>
  <c r="G26" i="10"/>
  <c r="AH29" i="8"/>
  <c r="AG29" i="8"/>
  <c r="F26" i="10"/>
  <c r="E26" i="10"/>
  <c r="AF29" i="8"/>
  <c r="AD30" i="8"/>
  <c r="AC30" i="8"/>
  <c r="U28" i="8"/>
  <c r="X22" i="8" l="1"/>
  <c r="E19" i="6"/>
  <c r="E18" i="5"/>
  <c r="AH30" i="8"/>
  <c r="G27" i="10"/>
  <c r="F27" i="10"/>
  <c r="AG30" i="8"/>
  <c r="E27" i="10"/>
  <c r="AF30" i="8"/>
  <c r="AD31" i="8"/>
  <c r="AC31" i="8"/>
  <c r="U29" i="8"/>
  <c r="X23" i="8" l="1"/>
  <c r="E20" i="6"/>
  <c r="E19" i="5"/>
  <c r="G28" i="10"/>
  <c r="AH31" i="8"/>
  <c r="AG31" i="8"/>
  <c r="F28" i="10"/>
  <c r="E28" i="10"/>
  <c r="AF31" i="8"/>
  <c r="AD32" i="8"/>
  <c r="AC32" i="8"/>
  <c r="U30" i="8"/>
  <c r="X24" i="8" l="1"/>
  <c r="E21" i="6"/>
  <c r="E20" i="5"/>
  <c r="G29" i="10"/>
  <c r="AH32" i="8"/>
  <c r="AG32" i="8"/>
  <c r="F29" i="10"/>
  <c r="E29" i="10"/>
  <c r="AF32" i="8"/>
  <c r="AD33" i="8"/>
  <c r="AC33" i="8"/>
  <c r="U31" i="8"/>
  <c r="X25" i="8" l="1"/>
  <c r="E22" i="6"/>
  <c r="E21" i="5"/>
  <c r="G30" i="10"/>
  <c r="AH33" i="8"/>
  <c r="F30" i="10"/>
  <c r="AG33" i="8"/>
  <c r="AF33" i="8"/>
  <c r="E30" i="10"/>
  <c r="AD34" i="8"/>
  <c r="AC34" i="8"/>
  <c r="U32" i="8"/>
  <c r="X26" i="8" l="1"/>
  <c r="E23" i="6"/>
  <c r="E22" i="5"/>
  <c r="AH34" i="8"/>
  <c r="G31" i="10"/>
  <c r="F31" i="10"/>
  <c r="AG34" i="8"/>
  <c r="E31" i="10"/>
  <c r="AF34" i="8"/>
  <c r="AD35" i="8"/>
  <c r="AC35" i="8"/>
  <c r="U33" i="8"/>
  <c r="X27" i="8" l="1"/>
  <c r="E24" i="6"/>
  <c r="E23" i="5"/>
  <c r="G32" i="10"/>
  <c r="AH35" i="8"/>
  <c r="F32" i="10"/>
  <c r="AG35" i="8"/>
  <c r="E32" i="10"/>
  <c r="AF35" i="8"/>
  <c r="AD36" i="8"/>
  <c r="AC36" i="8"/>
  <c r="U34" i="8"/>
  <c r="X28" i="8" l="1"/>
  <c r="E25" i="6"/>
  <c r="E24" i="5"/>
  <c r="AH36" i="8"/>
  <c r="G33" i="10"/>
  <c r="AG36" i="8"/>
  <c r="F33" i="10"/>
  <c r="E33" i="10"/>
  <c r="AF36" i="8"/>
  <c r="AD37" i="8"/>
  <c r="AC37" i="8"/>
  <c r="U35" i="8"/>
  <c r="X29" i="8" l="1"/>
  <c r="E26" i="6"/>
  <c r="E25" i="5"/>
  <c r="AH37" i="8"/>
  <c r="G34" i="10"/>
  <c r="AG37" i="8"/>
  <c r="F34" i="10"/>
  <c r="AF37" i="8"/>
  <c r="E34" i="10"/>
  <c r="AD38" i="8"/>
  <c r="AC38" i="8"/>
  <c r="U36" i="8"/>
  <c r="X30" i="8" l="1"/>
  <c r="E27" i="6"/>
  <c r="E26" i="5"/>
  <c r="AH38" i="8"/>
  <c r="G35" i="10"/>
  <c r="AG38" i="8"/>
  <c r="F35" i="10"/>
  <c r="AF38" i="8"/>
  <c r="E35" i="10"/>
  <c r="AD39" i="8"/>
  <c r="AC39" i="8"/>
  <c r="U37" i="8"/>
  <c r="X31" i="8" l="1"/>
  <c r="E28" i="6"/>
  <c r="E27" i="5"/>
  <c r="AH39" i="8"/>
  <c r="G36" i="10"/>
  <c r="AG39" i="8"/>
  <c r="F36" i="10"/>
  <c r="AF39" i="8"/>
  <c r="E36" i="10"/>
  <c r="AD40" i="8"/>
  <c r="AC40" i="8"/>
  <c r="U38" i="8"/>
  <c r="X32" i="8" l="1"/>
  <c r="E29" i="6"/>
  <c r="E28" i="5"/>
  <c r="AH40" i="8"/>
  <c r="G37" i="10"/>
  <c r="F37" i="10"/>
  <c r="AG40" i="8"/>
  <c r="E37" i="10"/>
  <c r="AF40" i="8"/>
  <c r="AD41" i="8"/>
  <c r="AC41" i="8"/>
  <c r="U39" i="8"/>
  <c r="X33" i="8" l="1"/>
  <c r="E30" i="6"/>
  <c r="E29" i="5"/>
  <c r="G38" i="10"/>
  <c r="AH41" i="8"/>
  <c r="AG41" i="8"/>
  <c r="F38" i="10"/>
  <c r="AF41" i="8"/>
  <c r="E38" i="10"/>
  <c r="AD42" i="8"/>
  <c r="AC42" i="8"/>
  <c r="U40" i="8"/>
  <c r="X34" i="8" l="1"/>
  <c r="E31" i="6"/>
  <c r="E30" i="5"/>
  <c r="AH42" i="8"/>
  <c r="G39" i="10"/>
  <c r="AG42" i="8"/>
  <c r="F39" i="10"/>
  <c r="E39" i="10"/>
  <c r="AF42" i="8"/>
  <c r="AD43" i="8"/>
  <c r="AC43" i="8"/>
  <c r="U41" i="8"/>
  <c r="X35" i="8" l="1"/>
  <c r="E32" i="6"/>
  <c r="E31" i="5"/>
  <c r="AH43" i="8"/>
  <c r="G40" i="10"/>
  <c r="F40" i="10"/>
  <c r="AG43" i="8"/>
  <c r="E40" i="10"/>
  <c r="AF43" i="8"/>
  <c r="AD44" i="8"/>
  <c r="AC44" i="8"/>
  <c r="U42" i="8"/>
  <c r="X36" i="8" l="1"/>
  <c r="E33" i="6"/>
  <c r="E32" i="5"/>
  <c r="AH44" i="8"/>
  <c r="G41" i="10"/>
  <c r="AG44" i="8"/>
  <c r="F41" i="10"/>
  <c r="E41" i="10"/>
  <c r="AF44" i="8"/>
  <c r="AD45" i="8"/>
  <c r="AC45" i="8"/>
  <c r="U43" i="8"/>
  <c r="X37" i="8" l="1"/>
  <c r="E34" i="6"/>
  <c r="E33" i="5"/>
  <c r="G42" i="10"/>
  <c r="AH45" i="8"/>
  <c r="F42" i="10"/>
  <c r="AG45" i="8"/>
  <c r="AF45" i="8"/>
  <c r="E42" i="10"/>
  <c r="AD46" i="8"/>
  <c r="AC46" i="8"/>
  <c r="U44" i="8"/>
  <c r="X38" i="8" l="1"/>
  <c r="E35" i="6"/>
  <c r="E34" i="5"/>
  <c r="G43" i="10"/>
  <c r="AH46" i="8"/>
  <c r="AG46" i="8"/>
  <c r="F43" i="10"/>
  <c r="E43" i="10"/>
  <c r="AF46" i="8"/>
  <c r="AD47" i="8"/>
  <c r="AC47" i="8"/>
  <c r="U45" i="8"/>
  <c r="X39" i="8" l="1"/>
  <c r="E36" i="6"/>
  <c r="E35" i="5"/>
  <c r="AH47" i="8"/>
  <c r="G44" i="10"/>
  <c r="AG47" i="8"/>
  <c r="F44" i="10"/>
  <c r="E44" i="10"/>
  <c r="AF47" i="8"/>
  <c r="AD48" i="8"/>
  <c r="AC48" i="8"/>
  <c r="U46" i="8"/>
  <c r="X40" i="8" l="1"/>
  <c r="E37" i="6"/>
  <c r="E36" i="5"/>
  <c r="AH48" i="8"/>
  <c r="G45" i="10"/>
  <c r="AG48" i="8"/>
  <c r="F45" i="10"/>
  <c r="E45" i="10"/>
  <c r="AF48" i="8"/>
  <c r="AD49" i="8"/>
  <c r="AC49" i="8"/>
  <c r="U47" i="8"/>
  <c r="X41" i="8" l="1"/>
  <c r="E38" i="6"/>
  <c r="E37" i="5"/>
  <c r="AH49" i="8"/>
  <c r="G46" i="10"/>
  <c r="AG49" i="8"/>
  <c r="F46" i="10"/>
  <c r="AF49" i="8"/>
  <c r="E46" i="10"/>
  <c r="AD50" i="8"/>
  <c r="AC50" i="8"/>
  <c r="U48" i="8"/>
  <c r="X42" i="8" l="1"/>
  <c r="E39" i="6"/>
  <c r="E38" i="5"/>
  <c r="AH50" i="8"/>
  <c r="G47" i="10"/>
  <c r="AG50" i="8"/>
  <c r="F47" i="10"/>
  <c r="AF50" i="8"/>
  <c r="E47" i="10"/>
  <c r="AD51" i="8"/>
  <c r="AC51" i="8"/>
  <c r="U49" i="8"/>
  <c r="X43" i="8" l="1"/>
  <c r="E40" i="6"/>
  <c r="E39" i="5"/>
  <c r="AH51" i="8"/>
  <c r="G48" i="10"/>
  <c r="F48" i="10"/>
  <c r="AG51" i="8"/>
  <c r="AF51" i="8"/>
  <c r="E48" i="10"/>
  <c r="AD52" i="8"/>
  <c r="AC52" i="8"/>
  <c r="U50" i="8"/>
  <c r="X44" i="8" l="1"/>
  <c r="E41" i="6"/>
  <c r="E40" i="5"/>
  <c r="G49" i="10"/>
  <c r="AH52" i="8"/>
  <c r="AG52" i="8"/>
  <c r="F49" i="10"/>
  <c r="E49" i="10"/>
  <c r="AF52" i="8"/>
  <c r="AD53" i="8"/>
  <c r="AC53" i="8"/>
  <c r="U51" i="8"/>
  <c r="X45" i="8" l="1"/>
  <c r="E42" i="6"/>
  <c r="E41" i="5"/>
  <c r="G50" i="10"/>
  <c r="AH53" i="8"/>
  <c r="G51" i="10" s="1"/>
  <c r="F50" i="10"/>
  <c r="AG53" i="8"/>
  <c r="F51" i="10" s="1"/>
  <c r="AF53" i="8"/>
  <c r="E51" i="10" s="1"/>
  <c r="E50" i="10"/>
  <c r="U52" i="8"/>
  <c r="X46" i="8" l="1"/>
  <c r="E43" i="6"/>
  <c r="E42" i="5"/>
  <c r="U53" i="8"/>
  <c r="X47" i="8" l="1"/>
  <c r="E44" i="6"/>
  <c r="E43" i="5"/>
  <c r="X48" i="8" l="1"/>
  <c r="E45" i="6"/>
  <c r="E44" i="5"/>
  <c r="X49" i="8" l="1"/>
  <c r="E46" i="6"/>
  <c r="E45" i="5"/>
  <c r="X50" i="8" l="1"/>
  <c r="E47" i="6"/>
  <c r="E46" i="5"/>
  <c r="X51" i="8" l="1"/>
  <c r="E48" i="6"/>
  <c r="E47" i="5"/>
  <c r="X52" i="8" l="1"/>
  <c r="E49" i="6"/>
  <c r="E48" i="5"/>
  <c r="X53" i="8" l="1"/>
  <c r="E51" i="6" s="1"/>
  <c r="E50" i="6"/>
  <c r="E49" i="5"/>
  <c r="E50" i="5" l="1"/>
  <c r="E51" i="5"/>
</calcChain>
</file>

<file path=xl/sharedStrings.xml><?xml version="1.0" encoding="utf-8"?>
<sst xmlns="http://schemas.openxmlformats.org/spreadsheetml/2006/main" count="217" uniqueCount="142">
  <si>
    <t>---</t>
  </si>
  <si>
    <t>NeedEXP</t>
  </si>
  <si>
    <t>Max_HP_UP</t>
  </si>
  <si>
    <t>Range_UP</t>
  </si>
  <si>
    <t>Damage_UP</t>
  </si>
  <si>
    <t>Bullet_Speed_UP</t>
  </si>
  <si>
    <t>Shoot_Cool_Down</t>
  </si>
  <si>
    <t>Immediate_Recovery</t>
  </si>
  <si>
    <t>Gradual_Recovery</t>
  </si>
  <si>
    <t>Move_Speed_UP</t>
  </si>
  <si>
    <t>Homing_UP</t>
  </si>
  <si>
    <t>Pene_UP</t>
  </si>
  <si>
    <t>Explosion_UP</t>
  </si>
  <si>
    <t>Amount_UP</t>
  </si>
  <si>
    <t>Max_HP_UP</t>
    <phoneticPr fontId="2" type="noConversion"/>
  </si>
  <si>
    <t>Range_UP</t>
    <phoneticPr fontId="2" type="noConversion"/>
  </si>
  <si>
    <t>Damage_UP</t>
    <phoneticPr fontId="2" type="noConversion"/>
  </si>
  <si>
    <t>Bullet_Speed_UP</t>
    <phoneticPr fontId="2" type="noConversion"/>
  </si>
  <si>
    <t>Shoot_Cool_Down</t>
    <phoneticPr fontId="2" type="noConversion"/>
  </si>
  <si>
    <t>Immediate_Recovery</t>
    <phoneticPr fontId="2" type="noConversion"/>
  </si>
  <si>
    <t>Gradual_Recovery</t>
    <phoneticPr fontId="2" type="noConversion"/>
  </si>
  <si>
    <t>Move_Speed_UP</t>
    <phoneticPr fontId="2" type="noConversion"/>
  </si>
  <si>
    <t>Homing_ON</t>
    <phoneticPr fontId="2" type="noConversion"/>
  </si>
  <si>
    <t>Pene_ON</t>
    <phoneticPr fontId="2" type="noConversion"/>
  </si>
  <si>
    <t>Explosion_ON</t>
    <phoneticPr fontId="2" type="noConversion"/>
  </si>
  <si>
    <t>Multishot_ON</t>
    <phoneticPr fontId="2" type="noConversion"/>
  </si>
  <si>
    <t>Homing_UP</t>
    <phoneticPr fontId="2" type="noConversion"/>
  </si>
  <si>
    <t>Pene_UP</t>
    <phoneticPr fontId="2" type="noConversion"/>
  </si>
  <si>
    <t>Explosion_UP</t>
    <phoneticPr fontId="2" type="noConversion"/>
  </si>
  <si>
    <t>Amount_UP</t>
    <phoneticPr fontId="2" type="noConversion"/>
  </si>
  <si>
    <t>Index</t>
  </si>
  <si>
    <t>Name</t>
  </si>
  <si>
    <t>유도 활성화</t>
  </si>
  <si>
    <t>관통 활성화</t>
  </si>
  <si>
    <t>폭발 활성화</t>
  </si>
  <si>
    <t>다탄 활성화</t>
  </si>
  <si>
    <t>Icon</t>
  </si>
  <si>
    <t>Calc_Style</t>
  </si>
  <si>
    <t>/Script/Engine.Texture2D'/Game/1_Ours/Resources/2D/UI2d/0_MAXHP.0_MAXHP'</t>
  </si>
  <si>
    <t>최대 생명력</t>
    <phoneticPr fontId="1" type="noConversion"/>
  </si>
  <si>
    <t>증가</t>
    <phoneticPr fontId="1" type="noConversion"/>
  </si>
  <si>
    <t>사거리</t>
    <phoneticPr fontId="1" type="noConversion"/>
  </si>
  <si>
    <t>발사 속도</t>
    <phoneticPr fontId="1" type="noConversion"/>
  </si>
  <si>
    <t>탄 속도</t>
    <phoneticPr fontId="1" type="noConversion"/>
  </si>
  <si>
    <t>데미지</t>
    <phoneticPr fontId="1" type="noConversion"/>
  </si>
  <si>
    <t>회복력</t>
    <phoneticPr fontId="1" type="noConversion"/>
  </si>
  <si>
    <t>이동 속도</t>
    <phoneticPr fontId="1" type="noConversion"/>
  </si>
  <si>
    <t>유도력</t>
    <phoneticPr fontId="1" type="noConversion"/>
  </si>
  <si>
    <t>관통 횟수</t>
    <phoneticPr fontId="1" type="noConversion"/>
  </si>
  <si>
    <t>폭발 범위</t>
    <phoneticPr fontId="1" type="noConversion"/>
  </si>
  <si>
    <t>발사 탄 수</t>
    <phoneticPr fontId="1" type="noConversion"/>
  </si>
  <si>
    <t>/Script/Engine.Texture2D'/Game/1_Ours/Resources/2D/UI2d/1_RangeUP.1_RangeUP'</t>
  </si>
  <si>
    <t>/Script/Engine.Texture2D'/Game/1_Ours/Resources/2D/UI2d/2_DamUP.2_DamUP'</t>
  </si>
  <si>
    <t>/Script/Engine.Texture2D'/Game/1_Ours/Resources/2D/UI2d/3_BulletSpeedUP.3_BulletSpeedUP'</t>
  </si>
  <si>
    <t>/Script/Engine.Texture2D'/Game/1_Ours/Resources/2D/UI2d/5_NowUP.5_NowUP'</t>
  </si>
  <si>
    <t>생명력</t>
    <phoneticPr fontId="1" type="noConversion"/>
  </si>
  <si>
    <t>% 회복</t>
    <phoneticPr fontId="1" type="noConversion"/>
  </si>
  <si>
    <t>/Script/Engine.Texture2D'/Game/1_Ours/Resources/2D/UI2d/6_GraUP.6_GraUP'</t>
  </si>
  <si>
    <t>/Script/Engine.Texture2D'/Game/1_Ours/Resources/2D/UI2d/7_MoveSpeedUP.7_MoveSpeedUP'</t>
  </si>
  <si>
    <t>/Script/Engine.Texture2D'/Game/1_Ours/Resources/2D/UI2d/8_HomingON.8_HomingON'</t>
  </si>
  <si>
    <t>/Script/Engine.Texture2D'/Game/1_Ours/Resources/2D/UI2d/9_PeneON.9_PeneON'</t>
  </si>
  <si>
    <t>/Script/Engine.Texture2D'/Game/1_Ours/Resources/2D/UI2d/10_ExplosionON.10_ExplosionON'</t>
  </si>
  <si>
    <t>/Script/Engine.Texture2D'/Game/1_Ours/Resources/2D/UI2d/11_BulletNumON.11_BulletNumON'</t>
  </si>
  <si>
    <t>/Script/Engine.Texture2D'/Game/1_Ours/Resources/2D/UI2d/12_HomingUP.12_HomingUP'</t>
  </si>
  <si>
    <t>/Script/Engine.Texture2D'/Game/1_Ours/Resources/2D/UI2d/13_PeneUP.13_PeneUP'</t>
  </si>
  <si>
    <t>/Script/Engine.Texture2D'/Game/1_Ours/Resources/2D/UI2d/14_ExplosionNUP.14_ExplosionNUP'</t>
  </si>
  <si>
    <t>/Script/Engine.Texture2D'/Game/1_Ours/Resources/2D/UI2d/15_BulletNumUP.15_BulletNumUP'</t>
  </si>
  <si>
    <t>HP</t>
  </si>
  <si>
    <t>Damage</t>
  </si>
  <si>
    <t>ATK_Cool</t>
  </si>
  <si>
    <t>MoveSpeed</t>
  </si>
  <si>
    <t>DropEXP</t>
  </si>
  <si>
    <t>Gobline</t>
  </si>
  <si>
    <t>Ghoul</t>
  </si>
  <si>
    <t>Skeleton</t>
  </si>
  <si>
    <t>Ghoul_Enhanced</t>
  </si>
  <si>
    <t>Lich</t>
  </si>
  <si>
    <t>스탯</t>
    <phoneticPr fontId="1" type="noConversion"/>
  </si>
  <si>
    <t>경험치</t>
    <phoneticPr fontId="1" type="noConversion"/>
  </si>
  <si>
    <t>수치</t>
    <phoneticPr fontId="1" type="noConversion"/>
  </si>
  <si>
    <t>가치
연산 값</t>
    <phoneticPr fontId="1" type="noConversion"/>
  </si>
  <si>
    <t>전투력</t>
    <phoneticPr fontId="1" type="noConversion"/>
  </si>
  <si>
    <t>몬스터
전투력</t>
    <phoneticPr fontId="1" type="noConversion"/>
  </si>
  <si>
    <t>몬스터</t>
    <phoneticPr fontId="1" type="noConversion"/>
  </si>
  <si>
    <t>점수</t>
    <phoneticPr fontId="1" type="noConversion"/>
  </si>
  <si>
    <t>고블린</t>
    <phoneticPr fontId="1" type="noConversion"/>
  </si>
  <si>
    <t>구울</t>
    <phoneticPr fontId="1" type="noConversion"/>
  </si>
  <si>
    <t>스켈레톤</t>
    <phoneticPr fontId="1" type="noConversion"/>
  </si>
  <si>
    <t>강화구울</t>
    <phoneticPr fontId="1" type="noConversion"/>
  </si>
  <si>
    <t>리치</t>
    <phoneticPr fontId="1" type="noConversion"/>
  </si>
  <si>
    <t>Time</t>
  </si>
  <si>
    <t>Interaction_Limit</t>
  </si>
  <si>
    <t>Survive_Limit</t>
  </si>
  <si>
    <t>Fail_Monster</t>
  </si>
  <si>
    <t>Monster_Buff</t>
  </si>
  <si>
    <t>SuccesPoint</t>
  </si>
  <si>
    <t>EXP</t>
  </si>
  <si>
    <t>Panalty_Dam</t>
  </si>
  <si>
    <t>Point</t>
  </si>
  <si>
    <t>강화스켈</t>
    <phoneticPr fontId="1" type="noConversion"/>
  </si>
  <si>
    <t>고블린</t>
    <phoneticPr fontId="1" type="noConversion"/>
  </si>
  <si>
    <t>Dam</t>
    <phoneticPr fontId="1" type="noConversion"/>
  </si>
  <si>
    <t>ATK
Cool</t>
    <phoneticPr fontId="1" type="noConversion"/>
  </si>
  <si>
    <t>Move
Speed</t>
    <phoneticPr fontId="1" type="noConversion"/>
  </si>
  <si>
    <t>Drop
EXP</t>
    <phoneticPr fontId="1" type="noConversion"/>
  </si>
  <si>
    <t>드랍
경험치</t>
    <phoneticPr fontId="1" type="noConversion"/>
  </si>
  <si>
    <t>구울</t>
    <phoneticPr fontId="1" type="noConversion"/>
  </si>
  <si>
    <t>레벨</t>
    <phoneticPr fontId="1" type="noConversion"/>
  </si>
  <si>
    <t>스켈레톤</t>
    <phoneticPr fontId="1" type="noConversion"/>
  </si>
  <si>
    <t>/Script/Engine.BlueprintGeneratedClass'/Game/1_Ours/Charactors/BP_Ai_EliteGobline.BP_Ai_EliteGobline_C'</t>
    <phoneticPr fontId="1" type="noConversion"/>
  </si>
  <si>
    <t xml:space="preserve"> </t>
    <phoneticPr fontId="1" type="noConversion"/>
  </si>
  <si>
    <t>/Script/Engine.BlueprintGeneratedClass'/Game/10_Ours/Charactors/BP_Ai_Ghoul.BP_Ai_Ghoul_C'</t>
  </si>
  <si>
    <t>/Script/Engine.BlueprintGeneratedClass'/Game/11_Ours/Charactors/BP_Ai_Ghoul.BP_Ai_Ghoul_C'</t>
  </si>
  <si>
    <t>/Script/Engine.BlueprintGeneratedClass'/Game/12_Ours/Charactors/BP_Ai_Ghoul.BP_Ai_Ghoul_C'</t>
  </si>
  <si>
    <t>/Script/Engine.BlueprintGeneratedClass'/Game/13_Ours/Charactors/BP_Ai_Ghoul.BP_Ai_Ghoul_C'</t>
  </si>
  <si>
    <t>/Script/Engine.BlueprintGeneratedClass'/Game/14_Ours/Charactors/BP_Ai_Ghoul.BP_Ai_Ghoul_C'</t>
  </si>
  <si>
    <t>/Script/Engine.BlueprintGeneratedClass'/Game/15_Ours/Charactors/BP_Ai_Ghoul.BP_Ai_Ghoul_C'</t>
  </si>
  <si>
    <t>/Script/Engine.BlueprintGeneratedClass'/Game/16_Ours/Charactors/BP_Ai_Ghoul.BP_Ai_Ghoul_C'</t>
  </si>
  <si>
    <t>/Script/Engine.BlueprintGeneratedClass'/Game/17_Ours/Charactors/BP_Ai_Ghoul.BP_Ai_Ghoul_C'</t>
  </si>
  <si>
    <t>/Script/Engine.BlueprintGeneratedClass'/Game/18_Ours/Charactors/BP_Ai_Ghoul.BP_Ai_Ghoul_C'</t>
  </si>
  <si>
    <t>/Script/Engine.BlueprintGeneratedClass'/Game/19_Ours/Charactors/BP_Ai_Ghoul.BP_Ai_Ghoul_C'</t>
  </si>
  <si>
    <t>/Script/Engine.BlueprintGeneratedClass'/Game/20_Ours/Charactors/BP_Ai_Ghoul.BP_Ai_Ghoul_C'</t>
  </si>
  <si>
    <t>/Script/Engine.BlueprintGeneratedClass'/Game/21_Ours/Charactors/BP_Ai_Ghoul.BP_Ai_Ghoul_C'</t>
  </si>
  <si>
    <t>/Script/Engine.BlueprintGeneratedClass'/Game/22_Ours/Charactors/BP_Ai_Ghoul.BP_Ai_Ghoul_C'</t>
  </si>
  <si>
    <t>/Script/Engine.BlueprintGeneratedClass'/Game/23_Ours/Charactors/BP_Ai_Ghoul.BP_Ai_Ghoul_C'</t>
  </si>
  <si>
    <t>/Script/Engine.BlueprintGeneratedClass'/Game/24_Ours/Charactors/BP_Ai_Ghoul.BP_Ai_Ghoul_C'</t>
  </si>
  <si>
    <t>/Script/Engine.BlueprintGeneratedClass'/Game/25_Ours/Charactors/BP_Ai_Ghoul.BP_Ai_Ghoul_C'</t>
  </si>
  <si>
    <t>/Script/Engine.BlueprintGeneratedClass'/Game/26_Ours/Charactors/BP_Ai_Ghoul.BP_Ai_Ghoul_C'</t>
  </si>
  <si>
    <t>/Script/Engine.BlueprintGeneratedClass'/Game/27_Ours/Charactors/BP_Ai_Ghoul.BP_Ai_Ghoul_C'</t>
  </si>
  <si>
    <t>/Script/Engine.BlueprintGeneratedClass'/Game/28_Ours/Charactors/BP_Ai_Ghoul.BP_Ai_Ghoul_C'</t>
  </si>
  <si>
    <t>/Script/Engine.BlueprintGeneratedClass'/Game/29_Ours/Charactors/BP_Ai_Ghoul.BP_Ai_Ghoul_C'</t>
  </si>
  <si>
    <t>/Script/Engine.BlueprintGeneratedClass'/Game/30_Ours/Charactors/BP_Ai_Ghoul.BP_Ai_Ghoul_C'</t>
  </si>
  <si>
    <t>/Script/Engine.BlueprintGeneratedClass'/Game/31_Ours/Charactors/BP_Ai_Ghoul.BP_Ai_Ghoul_C'</t>
  </si>
  <si>
    <t>/Script/Engine.BlueprintGeneratedClass'/Game/32_Ours/Charactors/BP_Ai_Ghoul.BP_Ai_Ghoul_C'</t>
  </si>
  <si>
    <t>/Script/Engine.BlueprintGeneratedClass'/Game/33_Ours/Charactors/BP_Ai_Ghoul.BP_Ai_Ghoul_C'</t>
  </si>
  <si>
    <t>/Script/Engine.BlueprintGeneratedClass'/Game/34_Ours/Charactors/BP_Ai_Ghoul.BP_Ai_Ghoul_C'</t>
  </si>
  <si>
    <t>/Script/Engine.BlueprintGeneratedClass'/Game/35_Ours/Charactors/BP_Ai_Ghoul.BP_Ai_Ghoul_C'</t>
  </si>
  <si>
    <t>/Script/Engine.BlueprintGeneratedClass'/Game/36_Ours/Charactors/BP_Ai_Ghoul.BP_Ai_Ghoul_C'</t>
  </si>
  <si>
    <t>/Script/Engine.BlueprintGeneratedClass'/Game/37_Ours/Charactors/BP_Ai_Ghoul.BP_Ai_Ghoul_C'</t>
  </si>
  <si>
    <t>/Script/Engine.BlueprintGeneratedClass'/Game/38_Ours/Charactors/BP_Ai_Ghoul.BP_Ai_Ghoul_C'</t>
  </si>
  <si>
    <t>/Script/Engine.BlueprintGeneratedClass'/Game/39_Ours/Charactors/BP_Ai_Ghoul.BP_Ai_Ghoul_C'</t>
  </si>
  <si>
    <t>/Script/Engine.BlueprintGeneratedClass'/Game/1_Ours/Charactors/BP_Ai_EliteGhoul.BP_Ai_EliteGhoul_C'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</si>
</sst>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4" xfId="0" applyBorder="1"/>
    <xf numFmtId="0" fontId="0" fillId="0" borderId="0" xfId="0" applyAlignment="1">
      <alignment vertical="center" wrapText="1"/>
    </xf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106680</xdr:rowOff>
        </xdr:from>
        <xdr:to>
          <xdr:col>3</xdr:col>
          <xdr:colOff>457200</xdr:colOff>
          <xdr:row>0</xdr:row>
          <xdr:rowOff>518160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4CF0-2680-4DE8-9006-B4AF5B6F16D4}">
  <sheetPr codeName="Sheet1"/>
  <dimension ref="A1:AH53"/>
  <sheetViews>
    <sheetView tabSelected="1" workbookViewId="0">
      <pane xSplit="11" ySplit="3" topLeftCell="L4" activePane="bottomRight" state="frozen"/>
      <selection pane="topRight" activeCell="L1" sqref="L1"/>
      <selection pane="bottomLeft" activeCell="A4" sqref="A4"/>
      <selection pane="bottomRight" activeCell="M47" sqref="M47:M53"/>
    </sheetView>
  </sheetViews>
  <sheetFormatPr defaultRowHeight="17.399999999999999" x14ac:dyDescent="0.4"/>
  <cols>
    <col min="1" max="1" width="11.09765625" bestFit="1" customWidth="1"/>
    <col min="2" max="2" width="5" bestFit="1" customWidth="1"/>
    <col min="3" max="3" width="6.796875" bestFit="1" customWidth="1"/>
    <col min="4" max="4" width="7.59765625" customWidth="1"/>
    <col min="5" max="5" width="2.69921875" customWidth="1"/>
    <col min="7" max="8" width="6.796875" bestFit="1" customWidth="1"/>
    <col min="9" max="9" width="5" bestFit="1" customWidth="1"/>
    <col min="10" max="10" width="2.296875" customWidth="1"/>
    <col min="11" max="11" width="2" customWidth="1"/>
    <col min="12" max="12" width="3.3984375" bestFit="1" customWidth="1"/>
    <col min="13" max="13" width="4.3984375" bestFit="1" customWidth="1"/>
    <col min="14" max="14" width="5.19921875" bestFit="1" customWidth="1"/>
    <col min="15" max="15" width="5.09765625" bestFit="1" customWidth="1"/>
    <col min="16" max="16" width="6.59765625" bestFit="1" customWidth="1"/>
    <col min="17" max="18" width="5.5" bestFit="1" customWidth="1"/>
    <col min="19" max="19" width="2.8984375" customWidth="1"/>
    <col min="20" max="20" width="3.8984375" customWidth="1"/>
    <col min="21" max="21" width="5.09765625" customWidth="1"/>
    <col min="22" max="22" width="5.19921875" bestFit="1" customWidth="1"/>
    <col min="23" max="23" width="5.09765625" bestFit="1" customWidth="1"/>
    <col min="24" max="24" width="6.59765625" bestFit="1" customWidth="1"/>
    <col min="25" max="26" width="5.5" bestFit="1" customWidth="1"/>
    <col min="27" max="27" width="2.8984375" customWidth="1"/>
    <col min="28" max="28" width="3.3984375" bestFit="1" customWidth="1"/>
    <col min="29" max="29" width="4.3984375" bestFit="1" customWidth="1"/>
    <col min="30" max="30" width="5.19921875" bestFit="1" customWidth="1"/>
    <col min="31" max="31" width="5.09765625" bestFit="1" customWidth="1"/>
    <col min="32" max="32" width="6.59765625" bestFit="1" customWidth="1"/>
    <col min="33" max="34" width="5.5" bestFit="1" customWidth="1"/>
  </cols>
  <sheetData>
    <row r="1" spans="1:34" ht="36" customHeight="1" thickBot="1" x14ac:dyDescent="0.45"/>
    <row r="2" spans="1:34" x14ac:dyDescent="0.4">
      <c r="L2" s="11" t="s">
        <v>100</v>
      </c>
      <c r="M2" s="12"/>
      <c r="N2" s="12"/>
      <c r="O2" s="12"/>
      <c r="P2" s="12"/>
      <c r="Q2" s="12"/>
      <c r="R2" s="13"/>
      <c r="T2" s="11" t="s">
        <v>106</v>
      </c>
      <c r="U2" s="12"/>
      <c r="V2" s="12"/>
      <c r="W2" s="12"/>
      <c r="X2" s="12"/>
      <c r="Y2" s="12"/>
      <c r="Z2" s="13"/>
      <c r="AB2" s="11" t="s">
        <v>108</v>
      </c>
      <c r="AC2" s="12"/>
      <c r="AD2" s="12"/>
      <c r="AE2" s="12"/>
      <c r="AF2" s="12"/>
      <c r="AG2" s="12"/>
      <c r="AH2" s="13"/>
    </row>
    <row r="3" spans="1:34" ht="34.799999999999997" x14ac:dyDescent="0.4">
      <c r="A3" t="s">
        <v>77</v>
      </c>
      <c r="B3" s="2" t="s">
        <v>107</v>
      </c>
      <c r="C3" t="s">
        <v>79</v>
      </c>
      <c r="D3" s="2" t="s">
        <v>80</v>
      </c>
      <c r="F3" t="s">
        <v>83</v>
      </c>
      <c r="G3" s="2" t="s">
        <v>82</v>
      </c>
      <c r="H3" s="2" t="s">
        <v>105</v>
      </c>
      <c r="I3" t="s">
        <v>84</v>
      </c>
      <c r="L3" s="3"/>
      <c r="M3" s="1" t="s">
        <v>67</v>
      </c>
      <c r="N3" s="1" t="s">
        <v>101</v>
      </c>
      <c r="O3" s="4" t="s">
        <v>102</v>
      </c>
      <c r="P3" s="4" t="s">
        <v>103</v>
      </c>
      <c r="Q3" s="4" t="s">
        <v>104</v>
      </c>
      <c r="R3" s="5" t="s">
        <v>98</v>
      </c>
      <c r="T3" s="3"/>
      <c r="U3" s="1" t="s">
        <v>67</v>
      </c>
      <c r="V3" s="1" t="s">
        <v>101</v>
      </c>
      <c r="W3" s="4" t="s">
        <v>102</v>
      </c>
      <c r="X3" s="4" t="s">
        <v>103</v>
      </c>
      <c r="Y3" s="4" t="s">
        <v>104</v>
      </c>
      <c r="Z3" s="5" t="s">
        <v>98</v>
      </c>
      <c r="AB3" s="3"/>
      <c r="AC3" s="1" t="s">
        <v>67</v>
      </c>
      <c r="AD3" s="1" t="s">
        <v>101</v>
      </c>
      <c r="AE3" s="4" t="s">
        <v>102</v>
      </c>
      <c r="AF3" s="4" t="s">
        <v>103</v>
      </c>
      <c r="AG3" s="4" t="s">
        <v>104</v>
      </c>
      <c r="AH3" s="5" t="s">
        <v>98</v>
      </c>
    </row>
    <row r="4" spans="1:34" x14ac:dyDescent="0.4">
      <c r="B4">
        <f>SUM(B6:B21)+1</f>
        <v>2</v>
      </c>
      <c r="F4" t="s">
        <v>85</v>
      </c>
      <c r="L4" s="6">
        <v>1</v>
      </c>
      <c r="M4" s="1">
        <v>4</v>
      </c>
      <c r="N4" s="1">
        <v>4</v>
      </c>
      <c r="O4" s="1">
        <v>3</v>
      </c>
      <c r="P4" s="1">
        <v>100</v>
      </c>
      <c r="Q4" s="1">
        <v>4</v>
      </c>
      <c r="R4" s="7">
        <v>20</v>
      </c>
      <c r="S4" s="1"/>
      <c r="T4" s="6">
        <v>1</v>
      </c>
      <c r="U4" s="1">
        <v>6</v>
      </c>
      <c r="V4" s="1">
        <v>4</v>
      </c>
      <c r="W4" s="1">
        <v>3</v>
      </c>
      <c r="X4" s="1">
        <v>120</v>
      </c>
      <c r="Y4" s="1">
        <v>4</v>
      </c>
      <c r="Z4" s="7">
        <v>20</v>
      </c>
      <c r="AB4" s="6">
        <v>1</v>
      </c>
      <c r="AC4" s="1">
        <v>6</v>
      </c>
      <c r="AD4" s="1">
        <v>4</v>
      </c>
      <c r="AE4" s="1">
        <v>2</v>
      </c>
      <c r="AF4" s="1">
        <v>180</v>
      </c>
      <c r="AG4" s="1">
        <v>4</v>
      </c>
      <c r="AH4" s="7">
        <v>20</v>
      </c>
    </row>
    <row r="5" spans="1:34" x14ac:dyDescent="0.4">
      <c r="A5" s="1" t="s">
        <v>78</v>
      </c>
      <c r="B5">
        <f>VLOOKUP($B$4-1,DT_Status!$A$2:$B$51,2,FALSE)</f>
        <v>14</v>
      </c>
      <c r="F5" t="s">
        <v>86</v>
      </c>
      <c r="L5" s="6">
        <v>2</v>
      </c>
      <c r="M5" s="1">
        <v>4</v>
      </c>
      <c r="N5" s="1">
        <v>5</v>
      </c>
      <c r="O5" s="1">
        <v>3</v>
      </c>
      <c r="P5" s="1">
        <f>ROUNDDOWN(P4*1.01,0)</f>
        <v>101</v>
      </c>
      <c r="Q5" s="1">
        <v>4</v>
      </c>
      <c r="R5" s="7">
        <v>22</v>
      </c>
      <c r="S5" s="1"/>
      <c r="T5" s="6">
        <v>2</v>
      </c>
      <c r="U5" s="1">
        <v>7</v>
      </c>
      <c r="V5" s="1">
        <v>5</v>
      </c>
      <c r="W5" s="1">
        <v>3</v>
      </c>
      <c r="X5" s="1">
        <v>120</v>
      </c>
      <c r="Y5" s="1">
        <v>4</v>
      </c>
      <c r="Z5" s="7">
        <v>22</v>
      </c>
      <c r="AB5" s="6">
        <v>2</v>
      </c>
      <c r="AC5" s="1">
        <v>7</v>
      </c>
      <c r="AD5" s="1">
        <v>5</v>
      </c>
      <c r="AE5" s="1">
        <v>2</v>
      </c>
      <c r="AF5" s="1">
        <v>180</v>
      </c>
      <c r="AG5" s="1">
        <v>4</v>
      </c>
      <c r="AH5" s="7">
        <v>22</v>
      </c>
    </row>
    <row r="6" spans="1:34" x14ac:dyDescent="0.4">
      <c r="A6" s="1" t="s">
        <v>39</v>
      </c>
      <c r="B6">
        <v>0</v>
      </c>
      <c r="F6" t="s">
        <v>87</v>
      </c>
      <c r="L6" s="6">
        <v>3</v>
      </c>
      <c r="M6" s="1">
        <v>5</v>
      </c>
      <c r="N6" s="1">
        <v>6</v>
      </c>
      <c r="O6" s="1">
        <v>3</v>
      </c>
      <c r="P6" s="1">
        <f t="shared" ref="P6:P53" si="0">ROUNDDOWN(P5*1.01,0)</f>
        <v>102</v>
      </c>
      <c r="Q6" s="1">
        <v>4</v>
      </c>
      <c r="R6" s="7">
        <v>24</v>
      </c>
      <c r="S6" s="1"/>
      <c r="T6" s="6">
        <v>3</v>
      </c>
      <c r="U6" s="1">
        <v>8</v>
      </c>
      <c r="V6" s="1">
        <v>6</v>
      </c>
      <c r="W6" s="1">
        <v>3</v>
      </c>
      <c r="X6" s="1">
        <v>120</v>
      </c>
      <c r="Y6" s="1">
        <v>4</v>
      </c>
      <c r="Z6" s="7">
        <v>24</v>
      </c>
      <c r="AB6" s="6">
        <v>3</v>
      </c>
      <c r="AC6" s="1">
        <v>8</v>
      </c>
      <c r="AD6" s="1">
        <v>6</v>
      </c>
      <c r="AE6" s="1">
        <v>2</v>
      </c>
      <c r="AF6" s="1">
        <v>180</v>
      </c>
      <c r="AG6" s="1">
        <v>4</v>
      </c>
      <c r="AH6" s="7">
        <v>24</v>
      </c>
    </row>
    <row r="7" spans="1:34" x14ac:dyDescent="0.4">
      <c r="A7" s="1" t="s">
        <v>41</v>
      </c>
      <c r="B7">
        <v>0</v>
      </c>
      <c r="F7" t="s">
        <v>88</v>
      </c>
      <c r="L7" s="6">
        <v>4</v>
      </c>
      <c r="M7" s="1">
        <v>5</v>
      </c>
      <c r="N7" s="1">
        <v>7</v>
      </c>
      <c r="O7" s="1">
        <v>3</v>
      </c>
      <c r="P7" s="1">
        <f t="shared" si="0"/>
        <v>103</v>
      </c>
      <c r="Q7" s="1">
        <v>4</v>
      </c>
      <c r="R7" s="7">
        <v>26</v>
      </c>
      <c r="S7" s="1"/>
      <c r="T7" s="6">
        <v>4</v>
      </c>
      <c r="U7" s="1">
        <v>9</v>
      </c>
      <c r="V7" s="1">
        <v>7</v>
      </c>
      <c r="W7" s="1">
        <v>3</v>
      </c>
      <c r="X7" s="1">
        <v>120</v>
      </c>
      <c r="Y7" s="1">
        <v>4</v>
      </c>
      <c r="Z7" s="7">
        <v>26</v>
      </c>
      <c r="AB7" s="6">
        <v>4</v>
      </c>
      <c r="AC7" s="1">
        <v>11</v>
      </c>
      <c r="AD7" s="1">
        <v>9</v>
      </c>
      <c r="AE7" s="1">
        <v>2</v>
      </c>
      <c r="AF7" s="1">
        <v>180</v>
      </c>
      <c r="AG7" s="1">
        <v>5</v>
      </c>
      <c r="AH7" s="7">
        <v>30</v>
      </c>
    </row>
    <row r="8" spans="1:34" x14ac:dyDescent="0.4">
      <c r="A8" s="1" t="s">
        <v>44</v>
      </c>
      <c r="B8">
        <v>1</v>
      </c>
      <c r="F8" t="s">
        <v>99</v>
      </c>
      <c r="L8" s="6">
        <v>5</v>
      </c>
      <c r="M8" s="1">
        <v>5</v>
      </c>
      <c r="N8" s="1">
        <v>8</v>
      </c>
      <c r="O8" s="1">
        <v>3</v>
      </c>
      <c r="P8" s="1">
        <f t="shared" si="0"/>
        <v>104</v>
      </c>
      <c r="Q8" s="1">
        <v>4</v>
      </c>
      <c r="R8" s="7">
        <v>28</v>
      </c>
      <c r="S8" s="1"/>
      <c r="T8" s="6">
        <v>5</v>
      </c>
      <c r="U8" s="1">
        <v>10</v>
      </c>
      <c r="V8" s="1">
        <v>8</v>
      </c>
      <c r="W8" s="1">
        <v>3</v>
      </c>
      <c r="X8" s="1">
        <v>120</v>
      </c>
      <c r="Y8" s="1">
        <v>4</v>
      </c>
      <c r="Z8" s="7">
        <v>28</v>
      </c>
      <c r="AB8" s="6">
        <v>5</v>
      </c>
      <c r="AC8" s="1">
        <f>ROUNDUP(AC7*1.2,0)</f>
        <v>14</v>
      </c>
      <c r="AD8" s="1">
        <f>ROUNDUP(AD7*1.03,0)</f>
        <v>10</v>
      </c>
      <c r="AE8" s="1">
        <v>2</v>
      </c>
      <c r="AF8" s="1">
        <v>180</v>
      </c>
      <c r="AG8" s="1">
        <f>ROUNDUP(AG7*1.1,0)</f>
        <v>6</v>
      </c>
      <c r="AH8" s="1">
        <f>ROUNDUP(AH7*1.05,0)</f>
        <v>32</v>
      </c>
    </row>
    <row r="9" spans="1:34" x14ac:dyDescent="0.4">
      <c r="A9" s="1" t="s">
        <v>43</v>
      </c>
      <c r="B9">
        <v>0</v>
      </c>
      <c r="F9" t="s">
        <v>89</v>
      </c>
      <c r="L9" s="6">
        <v>6</v>
      </c>
      <c r="M9" s="1">
        <v>6</v>
      </c>
      <c r="N9" s="1">
        <v>9</v>
      </c>
      <c r="O9" s="1">
        <v>3</v>
      </c>
      <c r="P9" s="1">
        <f t="shared" si="0"/>
        <v>105</v>
      </c>
      <c r="Q9" s="1">
        <v>5</v>
      </c>
      <c r="R9" s="7">
        <v>30</v>
      </c>
      <c r="S9" s="1"/>
      <c r="T9" s="6">
        <v>6</v>
      </c>
      <c r="U9" s="1">
        <v>15</v>
      </c>
      <c r="V9" s="1">
        <v>11</v>
      </c>
      <c r="W9" s="1">
        <v>3</v>
      </c>
      <c r="X9" s="1">
        <v>120</v>
      </c>
      <c r="Y9" s="1">
        <v>5</v>
      </c>
      <c r="Z9" s="7">
        <v>30</v>
      </c>
      <c r="AB9" s="6">
        <v>6</v>
      </c>
      <c r="AC9" s="1">
        <v>36</v>
      </c>
      <c r="AD9" s="1">
        <v>17</v>
      </c>
      <c r="AE9" s="1">
        <v>2</v>
      </c>
      <c r="AF9" s="1">
        <v>180</v>
      </c>
      <c r="AG9" s="1">
        <v>11</v>
      </c>
      <c r="AH9" s="7">
        <v>50</v>
      </c>
    </row>
    <row r="10" spans="1:34" x14ac:dyDescent="0.4">
      <c r="A10" s="1" t="s">
        <v>42</v>
      </c>
      <c r="B10">
        <v>0</v>
      </c>
      <c r="L10" s="6">
        <v>7</v>
      </c>
      <c r="M10" s="1">
        <v>6</v>
      </c>
      <c r="N10" s="1">
        <v>10</v>
      </c>
      <c r="O10" s="1">
        <v>3</v>
      </c>
      <c r="P10" s="1">
        <f t="shared" si="0"/>
        <v>106</v>
      </c>
      <c r="Q10" s="1">
        <v>6</v>
      </c>
      <c r="R10" s="7">
        <v>32</v>
      </c>
      <c r="S10" s="1"/>
      <c r="T10" s="6">
        <v>7</v>
      </c>
      <c r="U10" s="1">
        <f>ROUNDUP(U9*1.08,0)</f>
        <v>17</v>
      </c>
      <c r="V10" s="1">
        <f>ROUNDUP(V9*1.03,0)</f>
        <v>12</v>
      </c>
      <c r="W10" s="1">
        <v>3</v>
      </c>
      <c r="X10" s="1">
        <f t="shared" ref="X10:X11" si="1">ROUNDUP(X9*1.02,0)</f>
        <v>123</v>
      </c>
      <c r="Y10" s="1">
        <f>ROUNDUP(Y9*1.1,0)</f>
        <v>6</v>
      </c>
      <c r="Z10" s="1">
        <f>ROUNDUP(Z9*1.05,0)</f>
        <v>32</v>
      </c>
      <c r="AB10" s="6">
        <v>7</v>
      </c>
      <c r="AC10" s="1">
        <f>ROUNDUP(AC9*1.2,0)</f>
        <v>44</v>
      </c>
      <c r="AD10" s="1">
        <f>ROUNDUP(AD9*1.03,0)</f>
        <v>18</v>
      </c>
      <c r="AE10" s="1">
        <v>2</v>
      </c>
      <c r="AF10" s="1">
        <f>ROUNDUP(AF9*1.02,0)</f>
        <v>184</v>
      </c>
      <c r="AG10" s="1">
        <f>ROUNDUP(AG9*1.1,0)</f>
        <v>13</v>
      </c>
      <c r="AH10" s="1">
        <f>ROUNDUP(AH9*1.05,0)</f>
        <v>53</v>
      </c>
    </row>
    <row r="11" spans="1:34" x14ac:dyDescent="0.4">
      <c r="A11" s="1" t="s">
        <v>55</v>
      </c>
      <c r="B11">
        <v>0</v>
      </c>
      <c r="L11" s="6">
        <v>8</v>
      </c>
      <c r="M11" s="1">
        <v>7</v>
      </c>
      <c r="N11" s="1">
        <v>11</v>
      </c>
      <c r="O11" s="1">
        <v>3</v>
      </c>
      <c r="P11" s="1">
        <f t="shared" si="0"/>
        <v>107</v>
      </c>
      <c r="Q11" s="1">
        <v>7</v>
      </c>
      <c r="R11" s="7">
        <v>34</v>
      </c>
      <c r="S11" s="1"/>
      <c r="T11" s="6">
        <v>8</v>
      </c>
      <c r="U11" s="1">
        <f>ROUNDUP(U10*1.08,0)</f>
        <v>19</v>
      </c>
      <c r="V11" s="1">
        <f t="shared" ref="V11:V53" si="2">ROUNDUP(V10*1.03,0)</f>
        <v>13</v>
      </c>
      <c r="W11" s="1">
        <v>3</v>
      </c>
      <c r="X11" s="1">
        <f t="shared" si="1"/>
        <v>126</v>
      </c>
      <c r="Y11" s="1">
        <f t="shared" ref="Y11:Y53" si="3">ROUNDUP(Y10*1.1,0)</f>
        <v>7</v>
      </c>
      <c r="Z11" s="1">
        <f t="shared" ref="Z11:Z53" si="4">ROUNDUP(Z10*1.05,0)</f>
        <v>34</v>
      </c>
      <c r="AB11" s="6">
        <v>8</v>
      </c>
      <c r="AC11" s="1">
        <f t="shared" ref="AC11:AC53" si="5">ROUNDUP(AC10*1.2,0)</f>
        <v>53</v>
      </c>
      <c r="AD11" s="1">
        <f t="shared" ref="AD11:AD53" si="6">ROUNDUP(AD10*1.03,0)</f>
        <v>19</v>
      </c>
      <c r="AE11" s="1">
        <v>2</v>
      </c>
      <c r="AF11" s="1">
        <f t="shared" ref="AF11:AF53" si="7">ROUNDUP(AF10*1.02,0)</f>
        <v>188</v>
      </c>
      <c r="AG11" s="1">
        <f t="shared" ref="AG11:AG53" si="8">ROUNDUP(AG10*1.1,0)</f>
        <v>15</v>
      </c>
      <c r="AH11" s="1">
        <f t="shared" ref="AH11:AH53" si="9">ROUNDUP(AH10*1.05,0)</f>
        <v>56</v>
      </c>
    </row>
    <row r="12" spans="1:34" x14ac:dyDescent="0.4">
      <c r="A12" s="1" t="s">
        <v>45</v>
      </c>
      <c r="B12">
        <v>0</v>
      </c>
      <c r="L12" s="6">
        <v>9</v>
      </c>
      <c r="M12" s="1">
        <v>7</v>
      </c>
      <c r="N12" s="1">
        <v>12</v>
      </c>
      <c r="O12" s="1">
        <v>3</v>
      </c>
      <c r="P12" s="1">
        <f t="shared" si="0"/>
        <v>108</v>
      </c>
      <c r="Q12" s="1">
        <v>8</v>
      </c>
      <c r="R12" s="7">
        <v>36</v>
      </c>
      <c r="S12" s="1"/>
      <c r="T12" s="6">
        <v>9</v>
      </c>
      <c r="U12" s="1">
        <f t="shared" ref="U12:U53" si="10">ROUNDUP(U11*1.2,0)</f>
        <v>23</v>
      </c>
      <c r="V12" s="1">
        <f t="shared" si="2"/>
        <v>14</v>
      </c>
      <c r="W12" s="1">
        <v>3</v>
      </c>
      <c r="X12" s="1">
        <f t="shared" ref="X12:X53" si="11">ROUNDUP(X11*1.02,0)</f>
        <v>129</v>
      </c>
      <c r="Y12" s="1">
        <f t="shared" si="3"/>
        <v>8</v>
      </c>
      <c r="Z12" s="1">
        <f t="shared" si="4"/>
        <v>36</v>
      </c>
      <c r="AB12" s="6">
        <v>9</v>
      </c>
      <c r="AC12" s="1">
        <f t="shared" si="5"/>
        <v>64</v>
      </c>
      <c r="AD12" s="1">
        <f t="shared" si="6"/>
        <v>20</v>
      </c>
      <c r="AE12" s="1">
        <v>2</v>
      </c>
      <c r="AF12" s="1">
        <f t="shared" si="7"/>
        <v>192</v>
      </c>
      <c r="AG12" s="1">
        <f t="shared" si="8"/>
        <v>17</v>
      </c>
      <c r="AH12" s="1">
        <f t="shared" si="9"/>
        <v>59</v>
      </c>
    </row>
    <row r="13" spans="1:34" x14ac:dyDescent="0.4">
      <c r="A13" s="1" t="s">
        <v>46</v>
      </c>
      <c r="B13">
        <v>0</v>
      </c>
      <c r="L13" s="6">
        <v>10</v>
      </c>
      <c r="M13" s="1">
        <v>7</v>
      </c>
      <c r="N13" s="1">
        <v>13</v>
      </c>
      <c r="O13" s="1">
        <v>3</v>
      </c>
      <c r="P13" s="1">
        <f t="shared" si="0"/>
        <v>109</v>
      </c>
      <c r="Q13" s="1">
        <v>9</v>
      </c>
      <c r="R13" s="7">
        <v>38</v>
      </c>
      <c r="S13" s="1"/>
      <c r="T13" s="6">
        <v>10</v>
      </c>
      <c r="U13" s="1">
        <f t="shared" si="10"/>
        <v>28</v>
      </c>
      <c r="V13" s="1">
        <f t="shared" si="2"/>
        <v>15</v>
      </c>
      <c r="W13" s="1">
        <v>3</v>
      </c>
      <c r="X13" s="1">
        <f t="shared" si="11"/>
        <v>132</v>
      </c>
      <c r="Y13" s="1">
        <f t="shared" si="3"/>
        <v>9</v>
      </c>
      <c r="Z13" s="1">
        <f t="shared" si="4"/>
        <v>38</v>
      </c>
      <c r="AB13" s="6">
        <v>10</v>
      </c>
      <c r="AC13" s="1">
        <f t="shared" si="5"/>
        <v>77</v>
      </c>
      <c r="AD13" s="1">
        <f t="shared" si="6"/>
        <v>21</v>
      </c>
      <c r="AE13" s="1">
        <v>2</v>
      </c>
      <c r="AF13" s="1">
        <f t="shared" si="7"/>
        <v>196</v>
      </c>
      <c r="AG13" s="1">
        <f t="shared" si="8"/>
        <v>19</v>
      </c>
      <c r="AH13" s="1">
        <f t="shared" si="9"/>
        <v>62</v>
      </c>
    </row>
    <row r="14" spans="1:34" x14ac:dyDescent="0.4">
      <c r="A14" s="1" t="s">
        <v>32</v>
      </c>
      <c r="B14">
        <v>0</v>
      </c>
      <c r="L14" s="6">
        <v>11</v>
      </c>
      <c r="M14" s="1">
        <v>8</v>
      </c>
      <c r="N14" s="1">
        <v>15</v>
      </c>
      <c r="O14" s="1">
        <v>3</v>
      </c>
      <c r="P14" s="1">
        <f t="shared" si="0"/>
        <v>110</v>
      </c>
      <c r="Q14" s="1">
        <v>10</v>
      </c>
      <c r="R14" s="7">
        <v>40</v>
      </c>
      <c r="S14" s="1"/>
      <c r="T14" s="6">
        <v>11</v>
      </c>
      <c r="U14" s="1">
        <f t="shared" si="10"/>
        <v>34</v>
      </c>
      <c r="V14" s="1">
        <f t="shared" si="2"/>
        <v>16</v>
      </c>
      <c r="W14" s="1">
        <v>3</v>
      </c>
      <c r="X14" s="1">
        <f t="shared" si="11"/>
        <v>135</v>
      </c>
      <c r="Y14" s="1">
        <f t="shared" si="3"/>
        <v>10</v>
      </c>
      <c r="Z14" s="1">
        <f t="shared" si="4"/>
        <v>40</v>
      </c>
      <c r="AB14" s="6">
        <v>11</v>
      </c>
      <c r="AC14" s="1">
        <f t="shared" si="5"/>
        <v>93</v>
      </c>
      <c r="AD14" s="1">
        <f t="shared" si="6"/>
        <v>22</v>
      </c>
      <c r="AE14" s="1">
        <v>2</v>
      </c>
      <c r="AF14" s="1">
        <f t="shared" si="7"/>
        <v>200</v>
      </c>
      <c r="AG14" s="1">
        <f t="shared" si="8"/>
        <v>21</v>
      </c>
      <c r="AH14" s="1">
        <f t="shared" si="9"/>
        <v>66</v>
      </c>
    </row>
    <row r="15" spans="1:34" x14ac:dyDescent="0.4">
      <c r="A15" s="1" t="s">
        <v>33</v>
      </c>
      <c r="B15">
        <v>0</v>
      </c>
      <c r="L15" s="6">
        <v>12</v>
      </c>
      <c r="M15" s="1">
        <v>8</v>
      </c>
      <c r="N15" s="1">
        <v>17</v>
      </c>
      <c r="O15" s="1">
        <v>3</v>
      </c>
      <c r="P15" s="1">
        <f t="shared" si="0"/>
        <v>111</v>
      </c>
      <c r="Q15" s="1">
        <v>11</v>
      </c>
      <c r="R15" s="7">
        <v>42</v>
      </c>
      <c r="S15" s="1"/>
      <c r="T15" s="6">
        <v>12</v>
      </c>
      <c r="U15" s="1">
        <f t="shared" si="10"/>
        <v>41</v>
      </c>
      <c r="V15" s="1">
        <f t="shared" si="2"/>
        <v>17</v>
      </c>
      <c r="W15" s="1">
        <v>3</v>
      </c>
      <c r="X15" s="1">
        <f t="shared" si="11"/>
        <v>138</v>
      </c>
      <c r="Y15" s="1">
        <f t="shared" si="3"/>
        <v>11</v>
      </c>
      <c r="Z15" s="1">
        <f t="shared" si="4"/>
        <v>42</v>
      </c>
      <c r="AB15" s="6">
        <v>12</v>
      </c>
      <c r="AC15" s="1">
        <f t="shared" si="5"/>
        <v>112</v>
      </c>
      <c r="AD15" s="1">
        <f t="shared" si="6"/>
        <v>23</v>
      </c>
      <c r="AE15" s="1">
        <v>2</v>
      </c>
      <c r="AF15" s="1">
        <f t="shared" si="7"/>
        <v>204</v>
      </c>
      <c r="AG15" s="1">
        <f t="shared" si="8"/>
        <v>24</v>
      </c>
      <c r="AH15" s="1">
        <f t="shared" si="9"/>
        <v>70</v>
      </c>
    </row>
    <row r="16" spans="1:34" x14ac:dyDescent="0.4">
      <c r="A16" s="1" t="s">
        <v>34</v>
      </c>
      <c r="B16">
        <v>0</v>
      </c>
      <c r="L16" s="6">
        <v>13</v>
      </c>
      <c r="M16" s="1">
        <v>8</v>
      </c>
      <c r="N16" s="1">
        <v>19</v>
      </c>
      <c r="O16" s="1">
        <v>3</v>
      </c>
      <c r="P16" s="1">
        <f t="shared" si="0"/>
        <v>112</v>
      </c>
      <c r="Q16" s="1">
        <v>12</v>
      </c>
      <c r="R16" s="7">
        <v>44</v>
      </c>
      <c r="S16" s="1"/>
      <c r="T16" s="6">
        <v>13</v>
      </c>
      <c r="U16" s="1">
        <f t="shared" si="10"/>
        <v>50</v>
      </c>
      <c r="V16" s="1">
        <f t="shared" si="2"/>
        <v>18</v>
      </c>
      <c r="W16" s="1">
        <v>3</v>
      </c>
      <c r="X16" s="1">
        <f t="shared" si="11"/>
        <v>141</v>
      </c>
      <c r="Y16" s="1">
        <f t="shared" si="3"/>
        <v>13</v>
      </c>
      <c r="Z16" s="1">
        <f t="shared" si="4"/>
        <v>45</v>
      </c>
      <c r="AB16" s="6">
        <v>13</v>
      </c>
      <c r="AC16" s="1">
        <f t="shared" si="5"/>
        <v>135</v>
      </c>
      <c r="AD16" s="1">
        <f t="shared" si="6"/>
        <v>24</v>
      </c>
      <c r="AE16" s="1">
        <v>2</v>
      </c>
      <c r="AF16" s="1">
        <f t="shared" si="7"/>
        <v>209</v>
      </c>
      <c r="AG16" s="1">
        <f t="shared" si="8"/>
        <v>27</v>
      </c>
      <c r="AH16" s="1">
        <f t="shared" si="9"/>
        <v>74</v>
      </c>
    </row>
    <row r="17" spans="1:34" x14ac:dyDescent="0.4">
      <c r="A17" s="1" t="s">
        <v>35</v>
      </c>
      <c r="B17">
        <v>0</v>
      </c>
      <c r="L17" s="6">
        <v>14</v>
      </c>
      <c r="M17" s="1">
        <v>9</v>
      </c>
      <c r="N17" s="1">
        <v>22</v>
      </c>
      <c r="O17" s="1">
        <v>3</v>
      </c>
      <c r="P17" s="1">
        <f t="shared" si="0"/>
        <v>113</v>
      </c>
      <c r="Q17" s="1">
        <v>13</v>
      </c>
      <c r="R17" s="7">
        <v>46</v>
      </c>
      <c r="S17" s="1"/>
      <c r="T17" s="6">
        <v>14</v>
      </c>
      <c r="U17" s="1">
        <f t="shared" si="10"/>
        <v>60</v>
      </c>
      <c r="V17" s="1">
        <f t="shared" si="2"/>
        <v>19</v>
      </c>
      <c r="W17" s="1">
        <v>3</v>
      </c>
      <c r="X17" s="1">
        <f t="shared" si="11"/>
        <v>144</v>
      </c>
      <c r="Y17" s="1">
        <f t="shared" si="3"/>
        <v>15</v>
      </c>
      <c r="Z17" s="1">
        <f t="shared" si="4"/>
        <v>48</v>
      </c>
      <c r="AB17" s="6">
        <v>14</v>
      </c>
      <c r="AC17" s="1">
        <f t="shared" si="5"/>
        <v>162</v>
      </c>
      <c r="AD17" s="1">
        <f t="shared" si="6"/>
        <v>25</v>
      </c>
      <c r="AE17" s="1">
        <v>2</v>
      </c>
      <c r="AF17" s="1">
        <f t="shared" si="7"/>
        <v>214</v>
      </c>
      <c r="AG17" s="1">
        <f t="shared" si="8"/>
        <v>30</v>
      </c>
      <c r="AH17" s="1">
        <f t="shared" si="9"/>
        <v>78</v>
      </c>
    </row>
    <row r="18" spans="1:34" x14ac:dyDescent="0.4">
      <c r="A18" s="1" t="s">
        <v>47</v>
      </c>
      <c r="B18">
        <v>0</v>
      </c>
      <c r="L18" s="6">
        <v>15</v>
      </c>
      <c r="M18" s="1">
        <v>9</v>
      </c>
      <c r="N18" s="1">
        <v>25</v>
      </c>
      <c r="O18" s="1">
        <v>3</v>
      </c>
      <c r="P18" s="1">
        <f t="shared" si="0"/>
        <v>114</v>
      </c>
      <c r="Q18" s="1">
        <v>14</v>
      </c>
      <c r="R18" s="7">
        <v>48</v>
      </c>
      <c r="S18" s="1"/>
      <c r="T18" s="6">
        <v>15</v>
      </c>
      <c r="U18" s="1">
        <f t="shared" si="10"/>
        <v>72</v>
      </c>
      <c r="V18" s="1">
        <f t="shared" si="2"/>
        <v>20</v>
      </c>
      <c r="W18" s="1">
        <v>3</v>
      </c>
      <c r="X18" s="1">
        <f t="shared" si="11"/>
        <v>147</v>
      </c>
      <c r="Y18" s="1">
        <f t="shared" si="3"/>
        <v>17</v>
      </c>
      <c r="Z18" s="1">
        <f t="shared" si="4"/>
        <v>51</v>
      </c>
      <c r="AB18" s="6">
        <v>15</v>
      </c>
      <c r="AC18" s="1">
        <f t="shared" si="5"/>
        <v>195</v>
      </c>
      <c r="AD18" s="1">
        <f t="shared" si="6"/>
        <v>26</v>
      </c>
      <c r="AE18" s="1">
        <v>2</v>
      </c>
      <c r="AF18" s="1">
        <f t="shared" si="7"/>
        <v>219</v>
      </c>
      <c r="AG18" s="1">
        <f t="shared" si="8"/>
        <v>33</v>
      </c>
      <c r="AH18" s="1">
        <f t="shared" si="9"/>
        <v>82</v>
      </c>
    </row>
    <row r="19" spans="1:34" x14ac:dyDescent="0.4">
      <c r="A19" s="1" t="s">
        <v>48</v>
      </c>
      <c r="B19">
        <v>0</v>
      </c>
      <c r="L19" s="6">
        <v>16</v>
      </c>
      <c r="M19" s="1">
        <v>9</v>
      </c>
      <c r="N19" s="1">
        <v>28</v>
      </c>
      <c r="O19" s="1">
        <v>3</v>
      </c>
      <c r="P19" s="1">
        <f t="shared" si="0"/>
        <v>115</v>
      </c>
      <c r="Q19" s="1">
        <v>15</v>
      </c>
      <c r="R19" s="7">
        <v>50</v>
      </c>
      <c r="S19" s="1"/>
      <c r="T19" s="6">
        <v>16</v>
      </c>
      <c r="U19" s="1">
        <f t="shared" si="10"/>
        <v>87</v>
      </c>
      <c r="V19" s="1">
        <f t="shared" si="2"/>
        <v>21</v>
      </c>
      <c r="W19" s="1">
        <v>3</v>
      </c>
      <c r="X19" s="1">
        <f t="shared" si="11"/>
        <v>150</v>
      </c>
      <c r="Y19" s="1">
        <f t="shared" si="3"/>
        <v>19</v>
      </c>
      <c r="Z19" s="1">
        <f t="shared" si="4"/>
        <v>54</v>
      </c>
      <c r="AB19" s="6">
        <v>16</v>
      </c>
      <c r="AC19" s="1">
        <f t="shared" si="5"/>
        <v>234</v>
      </c>
      <c r="AD19" s="1">
        <f t="shared" si="6"/>
        <v>27</v>
      </c>
      <c r="AE19" s="1">
        <v>2</v>
      </c>
      <c r="AF19" s="1">
        <f t="shared" si="7"/>
        <v>224</v>
      </c>
      <c r="AG19" s="1">
        <f t="shared" si="8"/>
        <v>37</v>
      </c>
      <c r="AH19" s="1">
        <f t="shared" si="9"/>
        <v>87</v>
      </c>
    </row>
    <row r="20" spans="1:34" x14ac:dyDescent="0.4">
      <c r="A20" s="1" t="s">
        <v>49</v>
      </c>
      <c r="B20">
        <v>0</v>
      </c>
      <c r="L20" s="6">
        <v>17</v>
      </c>
      <c r="M20" s="1">
        <v>11</v>
      </c>
      <c r="N20" s="1">
        <v>31</v>
      </c>
      <c r="O20" s="1">
        <v>3</v>
      </c>
      <c r="P20" s="1">
        <f t="shared" si="0"/>
        <v>116</v>
      </c>
      <c r="Q20" s="1">
        <v>16</v>
      </c>
      <c r="R20" s="7">
        <v>52</v>
      </c>
      <c r="S20" s="1"/>
      <c r="T20" s="6">
        <v>17</v>
      </c>
      <c r="U20" s="1">
        <f t="shared" si="10"/>
        <v>105</v>
      </c>
      <c r="V20" s="1">
        <f t="shared" si="2"/>
        <v>22</v>
      </c>
      <c r="W20" s="1">
        <v>3</v>
      </c>
      <c r="X20" s="1">
        <f t="shared" si="11"/>
        <v>153</v>
      </c>
      <c r="Y20" s="1">
        <f t="shared" si="3"/>
        <v>21</v>
      </c>
      <c r="Z20" s="1">
        <f t="shared" si="4"/>
        <v>57</v>
      </c>
      <c r="AB20" s="6">
        <v>17</v>
      </c>
      <c r="AC20" s="1">
        <f t="shared" si="5"/>
        <v>281</v>
      </c>
      <c r="AD20" s="1">
        <f t="shared" si="6"/>
        <v>28</v>
      </c>
      <c r="AE20" s="1">
        <v>2</v>
      </c>
      <c r="AF20" s="1">
        <f t="shared" si="7"/>
        <v>229</v>
      </c>
      <c r="AG20" s="1">
        <f t="shared" si="8"/>
        <v>41</v>
      </c>
      <c r="AH20" s="1">
        <f t="shared" si="9"/>
        <v>92</v>
      </c>
    </row>
    <row r="21" spans="1:34" x14ac:dyDescent="0.4">
      <c r="A21" s="1" t="s">
        <v>50</v>
      </c>
      <c r="B21">
        <v>0</v>
      </c>
      <c r="L21" s="6">
        <v>18</v>
      </c>
      <c r="M21" s="1">
        <v>11</v>
      </c>
      <c r="N21" s="1">
        <v>34</v>
      </c>
      <c r="O21" s="1">
        <v>3</v>
      </c>
      <c r="P21" s="1">
        <f t="shared" si="0"/>
        <v>117</v>
      </c>
      <c r="Q21" s="1">
        <v>17</v>
      </c>
      <c r="R21" s="7">
        <v>54</v>
      </c>
      <c r="S21" s="1"/>
      <c r="T21" s="6">
        <v>18</v>
      </c>
      <c r="U21" s="1">
        <f t="shared" si="10"/>
        <v>126</v>
      </c>
      <c r="V21" s="1">
        <f t="shared" si="2"/>
        <v>23</v>
      </c>
      <c r="W21" s="1">
        <v>3</v>
      </c>
      <c r="X21" s="1">
        <f t="shared" si="11"/>
        <v>157</v>
      </c>
      <c r="Y21" s="1">
        <f t="shared" si="3"/>
        <v>24</v>
      </c>
      <c r="Z21" s="1">
        <f t="shared" si="4"/>
        <v>60</v>
      </c>
      <c r="AB21" s="6">
        <v>18</v>
      </c>
      <c r="AC21" s="1">
        <f t="shared" si="5"/>
        <v>338</v>
      </c>
      <c r="AD21" s="1">
        <f t="shared" si="6"/>
        <v>29</v>
      </c>
      <c r="AE21" s="1">
        <v>2</v>
      </c>
      <c r="AF21" s="1">
        <f t="shared" si="7"/>
        <v>234</v>
      </c>
      <c r="AG21" s="1">
        <f t="shared" si="8"/>
        <v>46</v>
      </c>
      <c r="AH21" s="1">
        <f t="shared" si="9"/>
        <v>97</v>
      </c>
    </row>
    <row r="22" spans="1:34" x14ac:dyDescent="0.4">
      <c r="C22" t="s">
        <v>81</v>
      </c>
      <c r="L22" s="6">
        <v>19</v>
      </c>
      <c r="M22" s="1">
        <v>11</v>
      </c>
      <c r="N22" s="1">
        <v>37</v>
      </c>
      <c r="O22" s="1">
        <v>3</v>
      </c>
      <c r="P22" s="1">
        <f t="shared" si="0"/>
        <v>118</v>
      </c>
      <c r="Q22" s="1">
        <v>18</v>
      </c>
      <c r="R22" s="7">
        <v>56</v>
      </c>
      <c r="S22" s="1"/>
      <c r="T22" s="6">
        <v>19</v>
      </c>
      <c r="U22" s="1">
        <f t="shared" si="10"/>
        <v>152</v>
      </c>
      <c r="V22" s="1">
        <f t="shared" si="2"/>
        <v>24</v>
      </c>
      <c r="W22" s="1">
        <v>3</v>
      </c>
      <c r="X22" s="1">
        <f t="shared" si="11"/>
        <v>161</v>
      </c>
      <c r="Y22" s="1">
        <f t="shared" si="3"/>
        <v>27</v>
      </c>
      <c r="Z22" s="1">
        <f t="shared" si="4"/>
        <v>63</v>
      </c>
      <c r="AB22" s="6">
        <v>19</v>
      </c>
      <c r="AC22" s="1">
        <f t="shared" si="5"/>
        <v>406</v>
      </c>
      <c r="AD22" s="1">
        <f t="shared" si="6"/>
        <v>30</v>
      </c>
      <c r="AE22" s="1">
        <v>2</v>
      </c>
      <c r="AF22" s="1">
        <f t="shared" si="7"/>
        <v>239</v>
      </c>
      <c r="AG22" s="1">
        <f t="shared" si="8"/>
        <v>51</v>
      </c>
      <c r="AH22" s="1">
        <f t="shared" si="9"/>
        <v>102</v>
      </c>
    </row>
    <row r="23" spans="1:34" x14ac:dyDescent="0.4">
      <c r="L23" s="6">
        <v>20</v>
      </c>
      <c r="M23" s="1">
        <v>11</v>
      </c>
      <c r="N23" s="1">
        <v>40</v>
      </c>
      <c r="O23" s="1">
        <v>3</v>
      </c>
      <c r="P23" s="1">
        <f t="shared" si="0"/>
        <v>119</v>
      </c>
      <c r="Q23" s="1">
        <v>19</v>
      </c>
      <c r="R23" s="7">
        <v>58</v>
      </c>
      <c r="S23" s="1"/>
      <c r="T23" s="6">
        <v>20</v>
      </c>
      <c r="U23" s="1">
        <f t="shared" si="10"/>
        <v>183</v>
      </c>
      <c r="V23" s="1">
        <f t="shared" si="2"/>
        <v>25</v>
      </c>
      <c r="W23" s="1">
        <v>3</v>
      </c>
      <c r="X23" s="1">
        <f t="shared" si="11"/>
        <v>165</v>
      </c>
      <c r="Y23" s="1">
        <f t="shared" si="3"/>
        <v>30</v>
      </c>
      <c r="Z23" s="1">
        <f t="shared" si="4"/>
        <v>67</v>
      </c>
      <c r="AB23" s="6">
        <v>20</v>
      </c>
      <c r="AC23" s="1">
        <f t="shared" si="5"/>
        <v>488</v>
      </c>
      <c r="AD23" s="1">
        <f t="shared" si="6"/>
        <v>31</v>
      </c>
      <c r="AE23" s="1">
        <v>2</v>
      </c>
      <c r="AF23" s="1">
        <f t="shared" si="7"/>
        <v>244</v>
      </c>
      <c r="AG23" s="1">
        <f t="shared" si="8"/>
        <v>57</v>
      </c>
      <c r="AH23" s="1">
        <f t="shared" si="9"/>
        <v>108</v>
      </c>
    </row>
    <row r="24" spans="1:34" x14ac:dyDescent="0.4">
      <c r="L24" s="6">
        <v>21</v>
      </c>
      <c r="M24" s="1">
        <v>15</v>
      </c>
      <c r="N24" s="1">
        <v>44</v>
      </c>
      <c r="O24" s="1">
        <v>3</v>
      </c>
      <c r="P24" s="1">
        <f t="shared" si="0"/>
        <v>120</v>
      </c>
      <c r="Q24" s="1">
        <v>20</v>
      </c>
      <c r="R24" s="7">
        <v>60</v>
      </c>
      <c r="S24" s="1"/>
      <c r="T24" s="6">
        <v>21</v>
      </c>
      <c r="U24" s="1">
        <f t="shared" si="10"/>
        <v>220</v>
      </c>
      <c r="V24" s="1">
        <f t="shared" si="2"/>
        <v>26</v>
      </c>
      <c r="W24" s="1">
        <v>3</v>
      </c>
      <c r="X24" s="1">
        <f t="shared" si="11"/>
        <v>169</v>
      </c>
      <c r="Y24" s="1">
        <f t="shared" si="3"/>
        <v>33</v>
      </c>
      <c r="Z24" s="1">
        <f t="shared" si="4"/>
        <v>71</v>
      </c>
      <c r="AB24" s="6">
        <v>21</v>
      </c>
      <c r="AC24" s="1">
        <f t="shared" si="5"/>
        <v>586</v>
      </c>
      <c r="AD24" s="1">
        <f t="shared" si="6"/>
        <v>32</v>
      </c>
      <c r="AE24" s="1">
        <v>2</v>
      </c>
      <c r="AF24" s="1">
        <f t="shared" si="7"/>
        <v>249</v>
      </c>
      <c r="AG24" s="1">
        <f t="shared" si="8"/>
        <v>63</v>
      </c>
      <c r="AH24" s="1">
        <f t="shared" si="9"/>
        <v>114</v>
      </c>
    </row>
    <row r="25" spans="1:34" x14ac:dyDescent="0.4">
      <c r="L25" s="6">
        <v>22</v>
      </c>
      <c r="M25" s="1">
        <v>15</v>
      </c>
      <c r="N25" s="1">
        <v>48</v>
      </c>
      <c r="O25" s="1">
        <v>3</v>
      </c>
      <c r="P25" s="1">
        <f t="shared" si="0"/>
        <v>121</v>
      </c>
      <c r="Q25" s="1">
        <v>21</v>
      </c>
      <c r="R25" s="7">
        <v>62</v>
      </c>
      <c r="S25" s="1"/>
      <c r="T25" s="6">
        <v>22</v>
      </c>
      <c r="U25" s="1">
        <f t="shared" si="10"/>
        <v>264</v>
      </c>
      <c r="V25" s="1">
        <f t="shared" si="2"/>
        <v>27</v>
      </c>
      <c r="W25" s="1">
        <v>3</v>
      </c>
      <c r="X25" s="1">
        <f t="shared" si="11"/>
        <v>173</v>
      </c>
      <c r="Y25" s="1">
        <f t="shared" si="3"/>
        <v>37</v>
      </c>
      <c r="Z25" s="1">
        <f t="shared" si="4"/>
        <v>75</v>
      </c>
      <c r="AB25" s="6">
        <v>22</v>
      </c>
      <c r="AC25" s="1">
        <f t="shared" si="5"/>
        <v>704</v>
      </c>
      <c r="AD25" s="1">
        <f t="shared" si="6"/>
        <v>33</v>
      </c>
      <c r="AE25" s="1">
        <v>2</v>
      </c>
      <c r="AF25" s="1">
        <f t="shared" si="7"/>
        <v>254</v>
      </c>
      <c r="AG25" s="1">
        <f t="shared" si="8"/>
        <v>70</v>
      </c>
      <c r="AH25" s="1">
        <f t="shared" si="9"/>
        <v>120</v>
      </c>
    </row>
    <row r="26" spans="1:34" x14ac:dyDescent="0.4">
      <c r="L26" s="6">
        <v>23</v>
      </c>
      <c r="M26" s="1">
        <v>15</v>
      </c>
      <c r="N26" s="1">
        <v>52</v>
      </c>
      <c r="O26" s="1">
        <v>3</v>
      </c>
      <c r="P26" s="1">
        <f t="shared" si="0"/>
        <v>122</v>
      </c>
      <c r="Q26" s="1">
        <v>22</v>
      </c>
      <c r="R26" s="7">
        <v>64</v>
      </c>
      <c r="S26" s="1"/>
      <c r="T26" s="6">
        <v>23</v>
      </c>
      <c r="U26" s="1">
        <f t="shared" si="10"/>
        <v>317</v>
      </c>
      <c r="V26" s="1">
        <f t="shared" si="2"/>
        <v>28</v>
      </c>
      <c r="W26" s="1">
        <v>3</v>
      </c>
      <c r="X26" s="1">
        <f t="shared" si="11"/>
        <v>177</v>
      </c>
      <c r="Y26" s="1">
        <f t="shared" si="3"/>
        <v>41</v>
      </c>
      <c r="Z26" s="1">
        <f t="shared" si="4"/>
        <v>79</v>
      </c>
      <c r="AB26" s="6">
        <v>23</v>
      </c>
      <c r="AC26" s="1">
        <f t="shared" si="5"/>
        <v>845</v>
      </c>
      <c r="AD26" s="1">
        <f t="shared" si="6"/>
        <v>34</v>
      </c>
      <c r="AE26" s="1">
        <v>2</v>
      </c>
      <c r="AF26" s="1">
        <f t="shared" si="7"/>
        <v>260</v>
      </c>
      <c r="AG26" s="1">
        <f t="shared" si="8"/>
        <v>77</v>
      </c>
      <c r="AH26" s="1">
        <f t="shared" si="9"/>
        <v>126</v>
      </c>
    </row>
    <row r="27" spans="1:34" x14ac:dyDescent="0.4">
      <c r="L27" s="6">
        <v>24</v>
      </c>
      <c r="M27" s="1">
        <v>15</v>
      </c>
      <c r="N27" s="1">
        <v>56</v>
      </c>
      <c r="O27" s="1">
        <v>3</v>
      </c>
      <c r="P27" s="1">
        <f t="shared" si="0"/>
        <v>123</v>
      </c>
      <c r="Q27" s="1">
        <v>23</v>
      </c>
      <c r="R27" s="7">
        <v>66</v>
      </c>
      <c r="S27" s="1"/>
      <c r="T27" s="6">
        <v>24</v>
      </c>
      <c r="U27" s="1">
        <f t="shared" si="10"/>
        <v>381</v>
      </c>
      <c r="V27" s="1">
        <f t="shared" si="2"/>
        <v>29</v>
      </c>
      <c r="W27" s="1">
        <v>3</v>
      </c>
      <c r="X27" s="1">
        <f t="shared" si="11"/>
        <v>181</v>
      </c>
      <c r="Y27" s="1">
        <f t="shared" si="3"/>
        <v>46</v>
      </c>
      <c r="Z27" s="1">
        <f t="shared" si="4"/>
        <v>83</v>
      </c>
      <c r="AB27" s="6">
        <v>24</v>
      </c>
      <c r="AC27" s="1">
        <f t="shared" si="5"/>
        <v>1014</v>
      </c>
      <c r="AD27" s="1">
        <f t="shared" si="6"/>
        <v>36</v>
      </c>
      <c r="AE27" s="1">
        <v>2</v>
      </c>
      <c r="AF27" s="1">
        <f t="shared" si="7"/>
        <v>266</v>
      </c>
      <c r="AG27" s="1">
        <f t="shared" si="8"/>
        <v>85</v>
      </c>
      <c r="AH27" s="1">
        <f t="shared" si="9"/>
        <v>133</v>
      </c>
    </row>
    <row r="28" spans="1:34" x14ac:dyDescent="0.4">
      <c r="L28" s="6">
        <v>25</v>
      </c>
      <c r="M28" s="1">
        <v>18</v>
      </c>
      <c r="N28" s="1">
        <v>60</v>
      </c>
      <c r="O28" s="1">
        <v>3</v>
      </c>
      <c r="P28" s="1">
        <f t="shared" si="0"/>
        <v>124</v>
      </c>
      <c r="Q28" s="1">
        <v>24</v>
      </c>
      <c r="R28" s="7">
        <v>68</v>
      </c>
      <c r="S28" s="1"/>
      <c r="T28" s="6">
        <v>25</v>
      </c>
      <c r="U28" s="1">
        <f t="shared" si="10"/>
        <v>458</v>
      </c>
      <c r="V28" s="1">
        <f t="shared" si="2"/>
        <v>30</v>
      </c>
      <c r="W28" s="1">
        <v>3</v>
      </c>
      <c r="X28" s="1">
        <f t="shared" si="11"/>
        <v>185</v>
      </c>
      <c r="Y28" s="1">
        <f t="shared" si="3"/>
        <v>51</v>
      </c>
      <c r="Z28" s="1">
        <f t="shared" si="4"/>
        <v>88</v>
      </c>
      <c r="AB28" s="6">
        <v>25</v>
      </c>
      <c r="AC28" s="1">
        <f t="shared" si="5"/>
        <v>1217</v>
      </c>
      <c r="AD28" s="1">
        <f t="shared" si="6"/>
        <v>38</v>
      </c>
      <c r="AE28" s="1">
        <v>2</v>
      </c>
      <c r="AF28" s="1">
        <f t="shared" si="7"/>
        <v>272</v>
      </c>
      <c r="AG28" s="1">
        <f t="shared" si="8"/>
        <v>94</v>
      </c>
      <c r="AH28" s="1">
        <f t="shared" si="9"/>
        <v>140</v>
      </c>
    </row>
    <row r="29" spans="1:34" x14ac:dyDescent="0.4">
      <c r="L29" s="6">
        <v>26</v>
      </c>
      <c r="M29" s="1">
        <v>18</v>
      </c>
      <c r="N29" s="1">
        <v>65</v>
      </c>
      <c r="O29" s="1">
        <v>3</v>
      </c>
      <c r="P29" s="1">
        <f t="shared" si="0"/>
        <v>125</v>
      </c>
      <c r="Q29" s="1">
        <v>26</v>
      </c>
      <c r="R29" s="7">
        <v>70</v>
      </c>
      <c r="S29" s="1"/>
      <c r="T29" s="6">
        <v>26</v>
      </c>
      <c r="U29" s="1">
        <f t="shared" si="10"/>
        <v>550</v>
      </c>
      <c r="V29" s="1">
        <f t="shared" si="2"/>
        <v>31</v>
      </c>
      <c r="W29" s="1">
        <v>3</v>
      </c>
      <c r="X29" s="1">
        <f t="shared" si="11"/>
        <v>189</v>
      </c>
      <c r="Y29" s="1">
        <f t="shared" si="3"/>
        <v>57</v>
      </c>
      <c r="Z29" s="1">
        <f t="shared" si="4"/>
        <v>93</v>
      </c>
      <c r="AB29" s="6">
        <v>26</v>
      </c>
      <c r="AC29" s="1">
        <f t="shared" si="5"/>
        <v>1461</v>
      </c>
      <c r="AD29" s="1">
        <f t="shared" si="6"/>
        <v>40</v>
      </c>
      <c r="AE29" s="1">
        <v>2</v>
      </c>
      <c r="AF29" s="1">
        <f t="shared" si="7"/>
        <v>278</v>
      </c>
      <c r="AG29" s="1">
        <f t="shared" si="8"/>
        <v>104</v>
      </c>
      <c r="AH29" s="1">
        <f t="shared" si="9"/>
        <v>147</v>
      </c>
    </row>
    <row r="30" spans="1:34" x14ac:dyDescent="0.4">
      <c r="L30" s="6">
        <v>27</v>
      </c>
      <c r="M30" s="1">
        <v>18</v>
      </c>
      <c r="N30" s="1">
        <v>70</v>
      </c>
      <c r="O30" s="1">
        <v>3</v>
      </c>
      <c r="P30" s="1">
        <f t="shared" si="0"/>
        <v>126</v>
      </c>
      <c r="Q30" s="1">
        <v>28</v>
      </c>
      <c r="R30" s="7">
        <v>72</v>
      </c>
      <c r="S30" s="1"/>
      <c r="T30" s="6">
        <v>27</v>
      </c>
      <c r="U30" s="1">
        <f t="shared" si="10"/>
        <v>660</v>
      </c>
      <c r="V30" s="1">
        <f t="shared" si="2"/>
        <v>32</v>
      </c>
      <c r="W30" s="1">
        <v>3</v>
      </c>
      <c r="X30" s="1">
        <f t="shared" si="11"/>
        <v>193</v>
      </c>
      <c r="Y30" s="1">
        <f t="shared" si="3"/>
        <v>63</v>
      </c>
      <c r="Z30" s="1">
        <f t="shared" si="4"/>
        <v>98</v>
      </c>
      <c r="AB30" s="6">
        <v>27</v>
      </c>
      <c r="AC30" s="1">
        <f t="shared" si="5"/>
        <v>1754</v>
      </c>
      <c r="AD30" s="1">
        <f t="shared" si="6"/>
        <v>42</v>
      </c>
      <c r="AE30" s="1">
        <v>2</v>
      </c>
      <c r="AF30" s="1">
        <f t="shared" si="7"/>
        <v>284</v>
      </c>
      <c r="AG30" s="1">
        <f t="shared" si="8"/>
        <v>115</v>
      </c>
      <c r="AH30" s="1">
        <f t="shared" si="9"/>
        <v>155</v>
      </c>
    </row>
    <row r="31" spans="1:34" x14ac:dyDescent="0.4">
      <c r="L31" s="6">
        <v>28</v>
      </c>
      <c r="M31" s="1">
        <v>18</v>
      </c>
      <c r="N31" s="1">
        <v>75</v>
      </c>
      <c r="O31" s="1">
        <v>3</v>
      </c>
      <c r="P31" s="1">
        <f t="shared" si="0"/>
        <v>127</v>
      </c>
      <c r="Q31" s="1">
        <v>30</v>
      </c>
      <c r="R31" s="7">
        <v>74</v>
      </c>
      <c r="S31" s="1"/>
      <c r="T31" s="6">
        <v>28</v>
      </c>
      <c r="U31" s="1">
        <f t="shared" si="10"/>
        <v>792</v>
      </c>
      <c r="V31" s="1">
        <f t="shared" si="2"/>
        <v>33</v>
      </c>
      <c r="W31" s="1">
        <v>3</v>
      </c>
      <c r="X31" s="1">
        <f t="shared" si="11"/>
        <v>197</v>
      </c>
      <c r="Y31" s="1">
        <f t="shared" si="3"/>
        <v>70</v>
      </c>
      <c r="Z31" s="1">
        <f t="shared" si="4"/>
        <v>103</v>
      </c>
      <c r="AB31" s="6">
        <v>28</v>
      </c>
      <c r="AC31" s="1">
        <f t="shared" si="5"/>
        <v>2105</v>
      </c>
      <c r="AD31" s="1">
        <f t="shared" si="6"/>
        <v>44</v>
      </c>
      <c r="AE31" s="1">
        <v>2</v>
      </c>
      <c r="AF31" s="1">
        <f t="shared" si="7"/>
        <v>290</v>
      </c>
      <c r="AG31" s="1">
        <f t="shared" si="8"/>
        <v>127</v>
      </c>
      <c r="AH31" s="1">
        <f t="shared" si="9"/>
        <v>163</v>
      </c>
    </row>
    <row r="32" spans="1:34" x14ac:dyDescent="0.4">
      <c r="L32" s="6">
        <v>29</v>
      </c>
      <c r="M32" s="1">
        <v>18</v>
      </c>
      <c r="N32" s="1">
        <v>80</v>
      </c>
      <c r="O32" s="1">
        <v>3</v>
      </c>
      <c r="P32" s="1">
        <f t="shared" si="0"/>
        <v>128</v>
      </c>
      <c r="Q32" s="1">
        <v>32</v>
      </c>
      <c r="R32" s="7">
        <v>76</v>
      </c>
      <c r="S32" s="1"/>
      <c r="T32" s="6">
        <v>29</v>
      </c>
      <c r="U32" s="1">
        <f t="shared" si="10"/>
        <v>951</v>
      </c>
      <c r="V32" s="1">
        <f t="shared" si="2"/>
        <v>34</v>
      </c>
      <c r="W32" s="1">
        <v>3</v>
      </c>
      <c r="X32" s="1">
        <f t="shared" si="11"/>
        <v>201</v>
      </c>
      <c r="Y32" s="1">
        <f t="shared" si="3"/>
        <v>77</v>
      </c>
      <c r="Z32" s="1">
        <f t="shared" si="4"/>
        <v>109</v>
      </c>
      <c r="AB32" s="6">
        <v>29</v>
      </c>
      <c r="AC32" s="1">
        <f t="shared" si="5"/>
        <v>2526</v>
      </c>
      <c r="AD32" s="1">
        <f t="shared" si="6"/>
        <v>46</v>
      </c>
      <c r="AE32" s="1">
        <v>2</v>
      </c>
      <c r="AF32" s="1">
        <f t="shared" si="7"/>
        <v>296</v>
      </c>
      <c r="AG32" s="1">
        <f t="shared" si="8"/>
        <v>140</v>
      </c>
      <c r="AH32" s="1">
        <f t="shared" si="9"/>
        <v>172</v>
      </c>
    </row>
    <row r="33" spans="12:34" x14ac:dyDescent="0.4">
      <c r="L33" s="6">
        <v>30</v>
      </c>
      <c r="M33" s="1">
        <v>18</v>
      </c>
      <c r="N33" s="1">
        <v>86</v>
      </c>
      <c r="O33" s="1">
        <v>3</v>
      </c>
      <c r="P33" s="1">
        <f t="shared" si="0"/>
        <v>129</v>
      </c>
      <c r="Q33" s="1">
        <v>34</v>
      </c>
      <c r="R33" s="7">
        <v>78</v>
      </c>
      <c r="S33" s="1"/>
      <c r="T33" s="6">
        <v>30</v>
      </c>
      <c r="U33" s="1">
        <f t="shared" si="10"/>
        <v>1142</v>
      </c>
      <c r="V33" s="1">
        <f t="shared" si="2"/>
        <v>36</v>
      </c>
      <c r="W33" s="1">
        <v>3</v>
      </c>
      <c r="X33" s="1">
        <f t="shared" si="11"/>
        <v>206</v>
      </c>
      <c r="Y33" s="1">
        <f t="shared" si="3"/>
        <v>85</v>
      </c>
      <c r="Z33" s="1">
        <f t="shared" si="4"/>
        <v>115</v>
      </c>
      <c r="AB33" s="6">
        <v>30</v>
      </c>
      <c r="AC33" s="1">
        <f t="shared" si="5"/>
        <v>3032</v>
      </c>
      <c r="AD33" s="1">
        <f t="shared" si="6"/>
        <v>48</v>
      </c>
      <c r="AE33" s="1">
        <v>2</v>
      </c>
      <c r="AF33" s="1">
        <f t="shared" si="7"/>
        <v>302</v>
      </c>
      <c r="AG33" s="1">
        <f t="shared" si="8"/>
        <v>154</v>
      </c>
      <c r="AH33" s="1">
        <f t="shared" si="9"/>
        <v>181</v>
      </c>
    </row>
    <row r="34" spans="12:34" x14ac:dyDescent="0.4">
      <c r="L34" s="6">
        <v>31</v>
      </c>
      <c r="M34" s="1">
        <v>18</v>
      </c>
      <c r="N34" s="1">
        <v>96</v>
      </c>
      <c r="O34" s="1">
        <v>3</v>
      </c>
      <c r="P34" s="1">
        <f t="shared" si="0"/>
        <v>130</v>
      </c>
      <c r="Q34" s="1">
        <v>37</v>
      </c>
      <c r="R34" s="7">
        <v>80</v>
      </c>
      <c r="S34" s="1"/>
      <c r="T34" s="6">
        <v>31</v>
      </c>
      <c r="U34" s="1">
        <f t="shared" si="10"/>
        <v>1371</v>
      </c>
      <c r="V34" s="1">
        <f t="shared" si="2"/>
        <v>38</v>
      </c>
      <c r="W34" s="1">
        <v>3</v>
      </c>
      <c r="X34" s="1">
        <f t="shared" si="11"/>
        <v>211</v>
      </c>
      <c r="Y34" s="1">
        <f t="shared" si="3"/>
        <v>94</v>
      </c>
      <c r="Z34" s="1">
        <f t="shared" si="4"/>
        <v>121</v>
      </c>
      <c r="AB34" s="6">
        <v>31</v>
      </c>
      <c r="AC34" s="1">
        <f t="shared" si="5"/>
        <v>3639</v>
      </c>
      <c r="AD34" s="1">
        <f t="shared" si="6"/>
        <v>50</v>
      </c>
      <c r="AE34" s="1">
        <v>2</v>
      </c>
      <c r="AF34" s="1">
        <f t="shared" si="7"/>
        <v>309</v>
      </c>
      <c r="AG34" s="1">
        <f t="shared" si="8"/>
        <v>170</v>
      </c>
      <c r="AH34" s="1">
        <f t="shared" si="9"/>
        <v>191</v>
      </c>
    </row>
    <row r="35" spans="12:34" x14ac:dyDescent="0.4">
      <c r="L35" s="6">
        <v>32</v>
      </c>
      <c r="M35" s="1">
        <v>22</v>
      </c>
      <c r="N35" s="1">
        <v>106</v>
      </c>
      <c r="O35" s="1">
        <v>3</v>
      </c>
      <c r="P35" s="1">
        <f t="shared" si="0"/>
        <v>131</v>
      </c>
      <c r="Q35" s="1">
        <v>40</v>
      </c>
      <c r="R35" s="7">
        <v>82</v>
      </c>
      <c r="S35" s="1"/>
      <c r="T35" s="6">
        <v>32</v>
      </c>
      <c r="U35" s="1">
        <f t="shared" si="10"/>
        <v>1646</v>
      </c>
      <c r="V35" s="1">
        <f t="shared" si="2"/>
        <v>40</v>
      </c>
      <c r="W35" s="1">
        <v>3</v>
      </c>
      <c r="X35" s="1">
        <f t="shared" si="11"/>
        <v>216</v>
      </c>
      <c r="Y35" s="1">
        <f t="shared" si="3"/>
        <v>104</v>
      </c>
      <c r="Z35" s="1">
        <f t="shared" si="4"/>
        <v>128</v>
      </c>
      <c r="AB35" s="6">
        <v>32</v>
      </c>
      <c r="AC35" s="1">
        <f t="shared" si="5"/>
        <v>4367</v>
      </c>
      <c r="AD35" s="1">
        <f t="shared" si="6"/>
        <v>52</v>
      </c>
      <c r="AE35" s="1">
        <v>2</v>
      </c>
      <c r="AF35" s="1">
        <f t="shared" si="7"/>
        <v>316</v>
      </c>
      <c r="AG35" s="1">
        <f t="shared" si="8"/>
        <v>187</v>
      </c>
      <c r="AH35" s="1">
        <f t="shared" si="9"/>
        <v>201</v>
      </c>
    </row>
    <row r="36" spans="12:34" x14ac:dyDescent="0.4">
      <c r="L36" s="6">
        <v>33</v>
      </c>
      <c r="M36" s="1">
        <v>22</v>
      </c>
      <c r="N36" s="1">
        <v>117</v>
      </c>
      <c r="O36" s="1">
        <v>3</v>
      </c>
      <c r="P36" s="1">
        <f t="shared" si="0"/>
        <v>132</v>
      </c>
      <c r="Q36" s="1">
        <v>43</v>
      </c>
      <c r="R36" s="7">
        <v>84</v>
      </c>
      <c r="S36" s="1"/>
      <c r="T36" s="6">
        <v>33</v>
      </c>
      <c r="U36" s="1">
        <f t="shared" si="10"/>
        <v>1976</v>
      </c>
      <c r="V36" s="1">
        <f t="shared" si="2"/>
        <v>42</v>
      </c>
      <c r="W36" s="1">
        <v>3</v>
      </c>
      <c r="X36" s="1">
        <f t="shared" si="11"/>
        <v>221</v>
      </c>
      <c r="Y36" s="1">
        <f t="shared" si="3"/>
        <v>115</v>
      </c>
      <c r="Z36" s="1">
        <f t="shared" si="4"/>
        <v>135</v>
      </c>
      <c r="AB36" s="6">
        <v>33</v>
      </c>
      <c r="AC36" s="1">
        <f t="shared" si="5"/>
        <v>5241</v>
      </c>
      <c r="AD36" s="1">
        <f t="shared" si="6"/>
        <v>54</v>
      </c>
      <c r="AE36" s="1">
        <v>2</v>
      </c>
      <c r="AF36" s="1">
        <f t="shared" si="7"/>
        <v>323</v>
      </c>
      <c r="AG36" s="1">
        <f t="shared" si="8"/>
        <v>206</v>
      </c>
      <c r="AH36" s="1">
        <f t="shared" si="9"/>
        <v>212</v>
      </c>
    </row>
    <row r="37" spans="12:34" x14ac:dyDescent="0.4">
      <c r="L37" s="6">
        <v>34</v>
      </c>
      <c r="M37" s="1">
        <v>22</v>
      </c>
      <c r="N37" s="1">
        <v>129</v>
      </c>
      <c r="O37" s="1">
        <v>3</v>
      </c>
      <c r="P37" s="1">
        <f t="shared" si="0"/>
        <v>133</v>
      </c>
      <c r="Q37" s="1">
        <v>46</v>
      </c>
      <c r="R37" s="7">
        <v>86</v>
      </c>
      <c r="S37" s="1"/>
      <c r="T37" s="6">
        <v>34</v>
      </c>
      <c r="U37" s="1">
        <f t="shared" si="10"/>
        <v>2372</v>
      </c>
      <c r="V37" s="1">
        <f t="shared" si="2"/>
        <v>44</v>
      </c>
      <c r="W37" s="1">
        <v>3</v>
      </c>
      <c r="X37" s="1">
        <f t="shared" si="11"/>
        <v>226</v>
      </c>
      <c r="Y37" s="1">
        <f t="shared" si="3"/>
        <v>127</v>
      </c>
      <c r="Z37" s="1">
        <f t="shared" si="4"/>
        <v>142</v>
      </c>
      <c r="AB37" s="6">
        <v>34</v>
      </c>
      <c r="AC37" s="1">
        <f t="shared" si="5"/>
        <v>6290</v>
      </c>
      <c r="AD37" s="1">
        <f t="shared" si="6"/>
        <v>56</v>
      </c>
      <c r="AE37" s="1">
        <v>2</v>
      </c>
      <c r="AF37" s="1">
        <f t="shared" si="7"/>
        <v>330</v>
      </c>
      <c r="AG37" s="1">
        <f t="shared" si="8"/>
        <v>227</v>
      </c>
      <c r="AH37" s="1">
        <f t="shared" si="9"/>
        <v>223</v>
      </c>
    </row>
    <row r="38" spans="12:34" x14ac:dyDescent="0.4">
      <c r="L38" s="6">
        <v>35</v>
      </c>
      <c r="M38" s="1">
        <v>22</v>
      </c>
      <c r="N38" s="1">
        <v>142</v>
      </c>
      <c r="O38" s="1">
        <v>3</v>
      </c>
      <c r="P38" s="1">
        <f t="shared" si="0"/>
        <v>134</v>
      </c>
      <c r="Q38" s="1">
        <v>49</v>
      </c>
      <c r="R38" s="7">
        <v>88</v>
      </c>
      <c r="S38" s="1"/>
      <c r="T38" s="6">
        <v>35</v>
      </c>
      <c r="U38" s="1">
        <f t="shared" si="10"/>
        <v>2847</v>
      </c>
      <c r="V38" s="1">
        <f t="shared" si="2"/>
        <v>46</v>
      </c>
      <c r="W38" s="1">
        <v>3</v>
      </c>
      <c r="X38" s="1">
        <f t="shared" si="11"/>
        <v>231</v>
      </c>
      <c r="Y38" s="1">
        <f t="shared" si="3"/>
        <v>140</v>
      </c>
      <c r="Z38" s="1">
        <f t="shared" si="4"/>
        <v>150</v>
      </c>
      <c r="AB38" s="6">
        <v>35</v>
      </c>
      <c r="AC38" s="1">
        <f t="shared" si="5"/>
        <v>7548</v>
      </c>
      <c r="AD38" s="1">
        <f t="shared" si="6"/>
        <v>58</v>
      </c>
      <c r="AE38" s="1">
        <v>2</v>
      </c>
      <c r="AF38" s="1">
        <f t="shared" si="7"/>
        <v>337</v>
      </c>
      <c r="AG38" s="1">
        <f t="shared" si="8"/>
        <v>250</v>
      </c>
      <c r="AH38" s="1">
        <f t="shared" si="9"/>
        <v>235</v>
      </c>
    </row>
    <row r="39" spans="12:34" x14ac:dyDescent="0.4">
      <c r="L39" s="6">
        <v>36</v>
      </c>
      <c r="M39" s="1">
        <v>22</v>
      </c>
      <c r="N39" s="1">
        <v>156</v>
      </c>
      <c r="O39" s="1">
        <v>3</v>
      </c>
      <c r="P39" s="1">
        <f t="shared" si="0"/>
        <v>135</v>
      </c>
      <c r="Q39" s="1">
        <v>52</v>
      </c>
      <c r="R39" s="7">
        <v>90</v>
      </c>
      <c r="S39" s="1"/>
      <c r="T39" s="6">
        <v>36</v>
      </c>
      <c r="U39" s="1">
        <f t="shared" si="10"/>
        <v>3417</v>
      </c>
      <c r="V39" s="1">
        <f t="shared" si="2"/>
        <v>48</v>
      </c>
      <c r="W39" s="1">
        <v>3</v>
      </c>
      <c r="X39" s="1">
        <f t="shared" si="11"/>
        <v>236</v>
      </c>
      <c r="Y39" s="1">
        <f t="shared" si="3"/>
        <v>154</v>
      </c>
      <c r="Z39" s="1">
        <f t="shared" si="4"/>
        <v>158</v>
      </c>
      <c r="AB39" s="6">
        <v>36</v>
      </c>
      <c r="AC39" s="1">
        <f t="shared" si="5"/>
        <v>9058</v>
      </c>
      <c r="AD39" s="1">
        <f t="shared" si="6"/>
        <v>60</v>
      </c>
      <c r="AE39" s="1">
        <v>2</v>
      </c>
      <c r="AF39" s="1">
        <f t="shared" si="7"/>
        <v>344</v>
      </c>
      <c r="AG39" s="1">
        <f t="shared" si="8"/>
        <v>275</v>
      </c>
      <c r="AH39" s="1">
        <f t="shared" si="9"/>
        <v>247</v>
      </c>
    </row>
    <row r="40" spans="12:34" x14ac:dyDescent="0.4">
      <c r="L40" s="6">
        <v>37</v>
      </c>
      <c r="M40" s="1">
        <v>28</v>
      </c>
      <c r="N40" s="1">
        <v>171</v>
      </c>
      <c r="O40" s="1">
        <v>3</v>
      </c>
      <c r="P40" s="1">
        <f t="shared" si="0"/>
        <v>136</v>
      </c>
      <c r="Q40" s="1">
        <v>55</v>
      </c>
      <c r="R40" s="7">
        <v>92</v>
      </c>
      <c r="S40" s="1"/>
      <c r="T40" s="6">
        <v>37</v>
      </c>
      <c r="U40" s="1">
        <f t="shared" si="10"/>
        <v>4101</v>
      </c>
      <c r="V40" s="1">
        <f t="shared" si="2"/>
        <v>50</v>
      </c>
      <c r="W40" s="1">
        <v>3</v>
      </c>
      <c r="X40" s="1">
        <f t="shared" si="11"/>
        <v>241</v>
      </c>
      <c r="Y40" s="1">
        <f t="shared" si="3"/>
        <v>170</v>
      </c>
      <c r="Z40" s="1">
        <f t="shared" si="4"/>
        <v>166</v>
      </c>
      <c r="AB40" s="6">
        <v>37</v>
      </c>
      <c r="AC40" s="1">
        <f t="shared" si="5"/>
        <v>10870</v>
      </c>
      <c r="AD40" s="1">
        <f t="shared" si="6"/>
        <v>62</v>
      </c>
      <c r="AE40" s="1">
        <v>2</v>
      </c>
      <c r="AF40" s="1">
        <f t="shared" si="7"/>
        <v>351</v>
      </c>
      <c r="AG40" s="1">
        <f t="shared" si="8"/>
        <v>303</v>
      </c>
      <c r="AH40" s="1">
        <f t="shared" si="9"/>
        <v>260</v>
      </c>
    </row>
    <row r="41" spans="12:34" x14ac:dyDescent="0.4">
      <c r="L41" s="6">
        <v>38</v>
      </c>
      <c r="M41" s="1">
        <v>28</v>
      </c>
      <c r="N41" s="1">
        <v>187</v>
      </c>
      <c r="O41" s="1">
        <v>3</v>
      </c>
      <c r="P41" s="1">
        <f t="shared" si="0"/>
        <v>137</v>
      </c>
      <c r="Q41" s="1">
        <v>58</v>
      </c>
      <c r="R41" s="7">
        <v>94</v>
      </c>
      <c r="S41" s="1"/>
      <c r="T41" s="6">
        <v>38</v>
      </c>
      <c r="U41" s="1">
        <f t="shared" si="10"/>
        <v>4922</v>
      </c>
      <c r="V41" s="1">
        <f t="shared" si="2"/>
        <v>52</v>
      </c>
      <c r="W41" s="1">
        <v>3</v>
      </c>
      <c r="X41" s="1">
        <f t="shared" si="11"/>
        <v>246</v>
      </c>
      <c r="Y41" s="1">
        <f t="shared" si="3"/>
        <v>187</v>
      </c>
      <c r="Z41" s="1">
        <f t="shared" si="4"/>
        <v>175</v>
      </c>
      <c r="AB41" s="6">
        <v>38</v>
      </c>
      <c r="AC41" s="1">
        <f t="shared" si="5"/>
        <v>13044</v>
      </c>
      <c r="AD41" s="1">
        <f t="shared" si="6"/>
        <v>64</v>
      </c>
      <c r="AE41" s="1">
        <v>2</v>
      </c>
      <c r="AF41" s="1">
        <f t="shared" si="7"/>
        <v>359</v>
      </c>
      <c r="AG41" s="1">
        <f t="shared" si="8"/>
        <v>334</v>
      </c>
      <c r="AH41" s="1">
        <f t="shared" si="9"/>
        <v>273</v>
      </c>
    </row>
    <row r="42" spans="12:34" x14ac:dyDescent="0.4">
      <c r="L42" s="6">
        <v>39</v>
      </c>
      <c r="M42" s="1">
        <v>28</v>
      </c>
      <c r="N42" s="1">
        <v>205</v>
      </c>
      <c r="O42" s="1">
        <v>3</v>
      </c>
      <c r="P42" s="1">
        <f t="shared" si="0"/>
        <v>138</v>
      </c>
      <c r="Q42" s="1">
        <v>61</v>
      </c>
      <c r="R42" s="7">
        <v>96</v>
      </c>
      <c r="S42" s="1"/>
      <c r="T42" s="6">
        <v>39</v>
      </c>
      <c r="U42" s="1">
        <f t="shared" si="10"/>
        <v>5907</v>
      </c>
      <c r="V42" s="1">
        <f t="shared" si="2"/>
        <v>54</v>
      </c>
      <c r="W42" s="1">
        <v>3</v>
      </c>
      <c r="X42" s="1">
        <f t="shared" si="11"/>
        <v>251</v>
      </c>
      <c r="Y42" s="1">
        <f t="shared" si="3"/>
        <v>206</v>
      </c>
      <c r="Z42" s="1">
        <f t="shared" si="4"/>
        <v>184</v>
      </c>
      <c r="AB42" s="6">
        <v>39</v>
      </c>
      <c r="AC42" s="1">
        <f t="shared" si="5"/>
        <v>15653</v>
      </c>
      <c r="AD42" s="1">
        <f t="shared" si="6"/>
        <v>66</v>
      </c>
      <c r="AE42" s="1">
        <v>2</v>
      </c>
      <c r="AF42" s="1">
        <f t="shared" si="7"/>
        <v>367</v>
      </c>
      <c r="AG42" s="1">
        <f t="shared" si="8"/>
        <v>368</v>
      </c>
      <c r="AH42" s="1">
        <f t="shared" si="9"/>
        <v>287</v>
      </c>
    </row>
    <row r="43" spans="12:34" x14ac:dyDescent="0.4">
      <c r="L43" s="6">
        <v>40</v>
      </c>
      <c r="M43" s="1">
        <v>28</v>
      </c>
      <c r="N43" s="1">
        <v>224</v>
      </c>
      <c r="O43" s="1">
        <v>3</v>
      </c>
      <c r="P43" s="1">
        <f t="shared" si="0"/>
        <v>139</v>
      </c>
      <c r="Q43" s="1">
        <v>64</v>
      </c>
      <c r="R43" s="7">
        <v>98</v>
      </c>
      <c r="S43" s="1"/>
      <c r="T43" s="6">
        <v>40</v>
      </c>
      <c r="U43" s="1">
        <f t="shared" si="10"/>
        <v>7089</v>
      </c>
      <c r="V43" s="1">
        <f t="shared" si="2"/>
        <v>56</v>
      </c>
      <c r="W43" s="1">
        <v>3</v>
      </c>
      <c r="X43" s="1">
        <f t="shared" si="11"/>
        <v>257</v>
      </c>
      <c r="Y43" s="1">
        <f t="shared" si="3"/>
        <v>227</v>
      </c>
      <c r="Z43" s="1">
        <f t="shared" si="4"/>
        <v>194</v>
      </c>
      <c r="AB43" s="6">
        <v>40</v>
      </c>
      <c r="AC43" s="1">
        <f t="shared" si="5"/>
        <v>18784</v>
      </c>
      <c r="AD43" s="1">
        <f t="shared" si="6"/>
        <v>68</v>
      </c>
      <c r="AE43" s="1">
        <v>2</v>
      </c>
      <c r="AF43" s="1">
        <f t="shared" si="7"/>
        <v>375</v>
      </c>
      <c r="AG43" s="1">
        <f t="shared" si="8"/>
        <v>405</v>
      </c>
      <c r="AH43" s="1">
        <f t="shared" si="9"/>
        <v>302</v>
      </c>
    </row>
    <row r="44" spans="12:34" x14ac:dyDescent="0.4">
      <c r="L44" s="6">
        <v>41</v>
      </c>
      <c r="M44" s="1">
        <v>28</v>
      </c>
      <c r="N44" s="1">
        <v>249</v>
      </c>
      <c r="O44" s="1">
        <v>3</v>
      </c>
      <c r="P44" s="1">
        <f t="shared" si="0"/>
        <v>140</v>
      </c>
      <c r="Q44" s="1">
        <v>69</v>
      </c>
      <c r="R44" s="7">
        <v>100</v>
      </c>
      <c r="S44" s="1"/>
      <c r="T44" s="6">
        <v>41</v>
      </c>
      <c r="U44" s="1">
        <f t="shared" si="10"/>
        <v>8507</v>
      </c>
      <c r="V44" s="1">
        <f t="shared" si="2"/>
        <v>58</v>
      </c>
      <c r="W44" s="1">
        <v>3</v>
      </c>
      <c r="X44" s="1">
        <f t="shared" si="11"/>
        <v>263</v>
      </c>
      <c r="Y44" s="1">
        <f t="shared" si="3"/>
        <v>250</v>
      </c>
      <c r="Z44" s="1">
        <f t="shared" si="4"/>
        <v>204</v>
      </c>
      <c r="AB44" s="6">
        <v>41</v>
      </c>
      <c r="AC44" s="1">
        <f t="shared" si="5"/>
        <v>22541</v>
      </c>
      <c r="AD44" s="1">
        <f t="shared" si="6"/>
        <v>71</v>
      </c>
      <c r="AE44" s="1">
        <v>2</v>
      </c>
      <c r="AF44" s="1">
        <f t="shared" si="7"/>
        <v>383</v>
      </c>
      <c r="AG44" s="1">
        <f t="shared" si="8"/>
        <v>446</v>
      </c>
      <c r="AH44" s="1">
        <f t="shared" si="9"/>
        <v>318</v>
      </c>
    </row>
    <row r="45" spans="12:34" x14ac:dyDescent="0.4">
      <c r="L45" s="6">
        <v>42</v>
      </c>
      <c r="M45" s="1">
        <v>28</v>
      </c>
      <c r="N45" s="1">
        <v>277</v>
      </c>
      <c r="O45" s="1">
        <v>3</v>
      </c>
      <c r="P45" s="1">
        <f t="shared" si="0"/>
        <v>141</v>
      </c>
      <c r="Q45" s="1">
        <v>74</v>
      </c>
      <c r="R45" s="7">
        <v>102</v>
      </c>
      <c r="S45" s="1"/>
      <c r="T45" s="6">
        <v>42</v>
      </c>
      <c r="U45" s="1">
        <f t="shared" si="10"/>
        <v>10209</v>
      </c>
      <c r="V45" s="1">
        <f t="shared" si="2"/>
        <v>60</v>
      </c>
      <c r="W45" s="1">
        <v>3</v>
      </c>
      <c r="X45" s="1">
        <f t="shared" si="11"/>
        <v>269</v>
      </c>
      <c r="Y45" s="1">
        <f t="shared" si="3"/>
        <v>275</v>
      </c>
      <c r="Z45" s="1">
        <f t="shared" si="4"/>
        <v>215</v>
      </c>
      <c r="AB45" s="6">
        <v>42</v>
      </c>
      <c r="AC45" s="1">
        <f t="shared" si="5"/>
        <v>27050</v>
      </c>
      <c r="AD45" s="1">
        <f t="shared" si="6"/>
        <v>74</v>
      </c>
      <c r="AE45" s="1">
        <v>2</v>
      </c>
      <c r="AF45" s="1">
        <f t="shared" si="7"/>
        <v>391</v>
      </c>
      <c r="AG45" s="1">
        <f t="shared" si="8"/>
        <v>491</v>
      </c>
      <c r="AH45" s="1">
        <f t="shared" si="9"/>
        <v>334</v>
      </c>
    </row>
    <row r="46" spans="12:34" x14ac:dyDescent="0.4">
      <c r="L46" s="6">
        <v>43</v>
      </c>
      <c r="M46" s="1">
        <v>28</v>
      </c>
      <c r="N46" s="1">
        <v>308</v>
      </c>
      <c r="O46" s="1">
        <v>3</v>
      </c>
      <c r="P46" s="1">
        <f t="shared" si="0"/>
        <v>142</v>
      </c>
      <c r="Q46" s="1">
        <v>80</v>
      </c>
      <c r="R46" s="7">
        <v>104</v>
      </c>
      <c r="S46" s="1"/>
      <c r="T46" s="6">
        <v>43</v>
      </c>
      <c r="U46" s="1">
        <f t="shared" si="10"/>
        <v>12251</v>
      </c>
      <c r="V46" s="1">
        <f t="shared" si="2"/>
        <v>62</v>
      </c>
      <c r="W46" s="1">
        <v>3</v>
      </c>
      <c r="X46" s="1">
        <f t="shared" si="11"/>
        <v>275</v>
      </c>
      <c r="Y46" s="1">
        <f t="shared" si="3"/>
        <v>303</v>
      </c>
      <c r="Z46" s="1">
        <f t="shared" si="4"/>
        <v>226</v>
      </c>
      <c r="AB46" s="6">
        <v>43</v>
      </c>
      <c r="AC46" s="1">
        <f t="shared" si="5"/>
        <v>32460</v>
      </c>
      <c r="AD46" s="1">
        <f t="shared" si="6"/>
        <v>77</v>
      </c>
      <c r="AE46" s="1">
        <v>2</v>
      </c>
      <c r="AF46" s="1">
        <f t="shared" si="7"/>
        <v>399</v>
      </c>
      <c r="AG46" s="1">
        <f t="shared" si="8"/>
        <v>541</v>
      </c>
      <c r="AH46" s="1">
        <f t="shared" si="9"/>
        <v>351</v>
      </c>
    </row>
    <row r="47" spans="12:34" x14ac:dyDescent="0.4">
      <c r="L47" s="6">
        <v>44</v>
      </c>
      <c r="M47" s="1">
        <v>36</v>
      </c>
      <c r="N47" s="1">
        <v>342</v>
      </c>
      <c r="O47" s="1">
        <v>3</v>
      </c>
      <c r="P47" s="1">
        <f t="shared" si="0"/>
        <v>143</v>
      </c>
      <c r="Q47" s="1">
        <v>86</v>
      </c>
      <c r="R47" s="7">
        <v>106</v>
      </c>
      <c r="S47" s="1"/>
      <c r="T47" s="6">
        <v>44</v>
      </c>
      <c r="U47" s="1">
        <f t="shared" si="10"/>
        <v>14702</v>
      </c>
      <c r="V47" s="1">
        <f t="shared" si="2"/>
        <v>64</v>
      </c>
      <c r="W47" s="1">
        <v>3</v>
      </c>
      <c r="X47" s="1">
        <f t="shared" si="11"/>
        <v>281</v>
      </c>
      <c r="Y47" s="1">
        <f t="shared" si="3"/>
        <v>334</v>
      </c>
      <c r="Z47" s="1">
        <f t="shared" si="4"/>
        <v>238</v>
      </c>
      <c r="AB47" s="6">
        <v>44</v>
      </c>
      <c r="AC47" s="1">
        <f t="shared" si="5"/>
        <v>38952</v>
      </c>
      <c r="AD47" s="1">
        <f t="shared" si="6"/>
        <v>80</v>
      </c>
      <c r="AE47" s="1">
        <v>2</v>
      </c>
      <c r="AF47" s="1">
        <f t="shared" si="7"/>
        <v>407</v>
      </c>
      <c r="AG47" s="1">
        <f t="shared" si="8"/>
        <v>596</v>
      </c>
      <c r="AH47" s="1">
        <f t="shared" si="9"/>
        <v>369</v>
      </c>
    </row>
    <row r="48" spans="12:34" x14ac:dyDescent="0.4">
      <c r="L48" s="6">
        <v>45</v>
      </c>
      <c r="M48" s="1">
        <v>36</v>
      </c>
      <c r="N48" s="1">
        <v>379</v>
      </c>
      <c r="O48" s="1">
        <v>3</v>
      </c>
      <c r="P48" s="1">
        <f t="shared" si="0"/>
        <v>144</v>
      </c>
      <c r="Q48" s="1">
        <v>92</v>
      </c>
      <c r="R48" s="7">
        <v>108</v>
      </c>
      <c r="S48" s="1"/>
      <c r="T48" s="6">
        <v>45</v>
      </c>
      <c r="U48" s="1">
        <f t="shared" si="10"/>
        <v>17643</v>
      </c>
      <c r="V48" s="1">
        <f t="shared" si="2"/>
        <v>66</v>
      </c>
      <c r="W48" s="1">
        <v>3</v>
      </c>
      <c r="X48" s="1">
        <f t="shared" si="11"/>
        <v>287</v>
      </c>
      <c r="Y48" s="1">
        <f t="shared" si="3"/>
        <v>368</v>
      </c>
      <c r="Z48" s="1">
        <f t="shared" si="4"/>
        <v>250</v>
      </c>
      <c r="AB48" s="6">
        <v>45</v>
      </c>
      <c r="AC48" s="1">
        <f t="shared" si="5"/>
        <v>46743</v>
      </c>
      <c r="AD48" s="1">
        <f t="shared" si="6"/>
        <v>83</v>
      </c>
      <c r="AE48" s="1">
        <v>2</v>
      </c>
      <c r="AF48" s="1">
        <f t="shared" si="7"/>
        <v>416</v>
      </c>
      <c r="AG48" s="1">
        <f t="shared" si="8"/>
        <v>656</v>
      </c>
      <c r="AH48" s="1">
        <f t="shared" si="9"/>
        <v>388</v>
      </c>
    </row>
    <row r="49" spans="12:34" x14ac:dyDescent="0.4">
      <c r="L49" s="6">
        <v>46</v>
      </c>
      <c r="M49" s="1">
        <v>36</v>
      </c>
      <c r="N49" s="1">
        <v>420</v>
      </c>
      <c r="O49" s="1">
        <v>3</v>
      </c>
      <c r="P49" s="1">
        <f t="shared" si="0"/>
        <v>145</v>
      </c>
      <c r="Q49" s="1">
        <v>98</v>
      </c>
      <c r="R49" s="7">
        <v>110</v>
      </c>
      <c r="S49" s="1"/>
      <c r="T49" s="6">
        <v>46</v>
      </c>
      <c r="U49" s="1">
        <f t="shared" si="10"/>
        <v>21172</v>
      </c>
      <c r="V49" s="1">
        <f t="shared" si="2"/>
        <v>68</v>
      </c>
      <c r="W49" s="1">
        <v>3</v>
      </c>
      <c r="X49" s="1">
        <f t="shared" si="11"/>
        <v>293</v>
      </c>
      <c r="Y49" s="1">
        <f t="shared" si="3"/>
        <v>405</v>
      </c>
      <c r="Z49" s="1">
        <f t="shared" si="4"/>
        <v>263</v>
      </c>
      <c r="AB49" s="6">
        <v>46</v>
      </c>
      <c r="AC49" s="1">
        <f t="shared" si="5"/>
        <v>56092</v>
      </c>
      <c r="AD49" s="1">
        <f t="shared" si="6"/>
        <v>86</v>
      </c>
      <c r="AE49" s="1">
        <v>2</v>
      </c>
      <c r="AF49" s="1">
        <f t="shared" si="7"/>
        <v>425</v>
      </c>
      <c r="AG49" s="1">
        <f t="shared" si="8"/>
        <v>722</v>
      </c>
      <c r="AH49" s="1">
        <f t="shared" si="9"/>
        <v>408</v>
      </c>
    </row>
    <row r="50" spans="12:34" x14ac:dyDescent="0.4">
      <c r="L50" s="6">
        <v>47</v>
      </c>
      <c r="M50" s="1">
        <v>36</v>
      </c>
      <c r="N50" s="1">
        <v>465</v>
      </c>
      <c r="O50" s="1">
        <v>3</v>
      </c>
      <c r="P50" s="1">
        <f t="shared" si="0"/>
        <v>146</v>
      </c>
      <c r="Q50" s="1">
        <v>105</v>
      </c>
      <c r="R50" s="7">
        <v>112</v>
      </c>
      <c r="S50" s="1"/>
      <c r="T50" s="6">
        <v>47</v>
      </c>
      <c r="U50" s="1">
        <f t="shared" si="10"/>
        <v>25407</v>
      </c>
      <c r="V50" s="1">
        <f t="shared" si="2"/>
        <v>71</v>
      </c>
      <c r="W50" s="1">
        <v>3</v>
      </c>
      <c r="X50" s="1">
        <f t="shared" si="11"/>
        <v>299</v>
      </c>
      <c r="Y50" s="1">
        <f t="shared" si="3"/>
        <v>446</v>
      </c>
      <c r="Z50" s="1">
        <f t="shared" si="4"/>
        <v>277</v>
      </c>
      <c r="AB50" s="6">
        <v>47</v>
      </c>
      <c r="AC50" s="1">
        <f t="shared" si="5"/>
        <v>67311</v>
      </c>
      <c r="AD50" s="1">
        <f t="shared" si="6"/>
        <v>89</v>
      </c>
      <c r="AE50" s="1">
        <v>2</v>
      </c>
      <c r="AF50" s="1">
        <f t="shared" si="7"/>
        <v>434</v>
      </c>
      <c r="AG50" s="1">
        <f t="shared" si="8"/>
        <v>795</v>
      </c>
      <c r="AH50" s="1">
        <f t="shared" si="9"/>
        <v>429</v>
      </c>
    </row>
    <row r="51" spans="12:34" x14ac:dyDescent="0.4">
      <c r="L51" s="6">
        <v>48</v>
      </c>
      <c r="M51" s="1">
        <v>36</v>
      </c>
      <c r="N51" s="1">
        <v>514</v>
      </c>
      <c r="O51" s="1">
        <v>3</v>
      </c>
      <c r="P51" s="1">
        <f t="shared" si="0"/>
        <v>147</v>
      </c>
      <c r="Q51" s="1">
        <v>112</v>
      </c>
      <c r="R51" s="7">
        <v>114</v>
      </c>
      <c r="S51" s="1"/>
      <c r="T51" s="6">
        <v>48</v>
      </c>
      <c r="U51" s="1">
        <f t="shared" si="10"/>
        <v>30489</v>
      </c>
      <c r="V51" s="1">
        <f t="shared" si="2"/>
        <v>74</v>
      </c>
      <c r="W51" s="1">
        <v>3</v>
      </c>
      <c r="X51" s="1">
        <f t="shared" si="11"/>
        <v>305</v>
      </c>
      <c r="Y51" s="1">
        <f t="shared" si="3"/>
        <v>491</v>
      </c>
      <c r="Z51" s="1">
        <f t="shared" si="4"/>
        <v>291</v>
      </c>
      <c r="AB51" s="6">
        <v>48</v>
      </c>
      <c r="AC51" s="1">
        <f t="shared" si="5"/>
        <v>80774</v>
      </c>
      <c r="AD51" s="1">
        <f t="shared" si="6"/>
        <v>92</v>
      </c>
      <c r="AE51" s="1">
        <v>2</v>
      </c>
      <c r="AF51" s="1">
        <f t="shared" si="7"/>
        <v>443</v>
      </c>
      <c r="AG51" s="1">
        <f t="shared" si="8"/>
        <v>875</v>
      </c>
      <c r="AH51" s="1">
        <f t="shared" si="9"/>
        <v>451</v>
      </c>
    </row>
    <row r="52" spans="12:34" x14ac:dyDescent="0.4">
      <c r="L52" s="6">
        <v>49</v>
      </c>
      <c r="M52" s="1">
        <v>36</v>
      </c>
      <c r="N52" s="1">
        <v>568</v>
      </c>
      <c r="O52" s="1">
        <v>3</v>
      </c>
      <c r="P52" s="1">
        <f t="shared" si="0"/>
        <v>148</v>
      </c>
      <c r="Q52" s="1">
        <v>119</v>
      </c>
      <c r="R52" s="7">
        <v>116</v>
      </c>
      <c r="S52" s="1"/>
      <c r="T52" s="6">
        <v>49</v>
      </c>
      <c r="U52" s="1">
        <f t="shared" si="10"/>
        <v>36587</v>
      </c>
      <c r="V52" s="1">
        <f t="shared" si="2"/>
        <v>77</v>
      </c>
      <c r="W52" s="1">
        <v>3</v>
      </c>
      <c r="X52" s="1">
        <f t="shared" si="11"/>
        <v>312</v>
      </c>
      <c r="Y52" s="1">
        <f t="shared" si="3"/>
        <v>541</v>
      </c>
      <c r="Z52" s="1">
        <f t="shared" si="4"/>
        <v>306</v>
      </c>
      <c r="AB52" s="6">
        <v>49</v>
      </c>
      <c r="AC52" s="1">
        <f t="shared" si="5"/>
        <v>96929</v>
      </c>
      <c r="AD52" s="1">
        <f t="shared" si="6"/>
        <v>95</v>
      </c>
      <c r="AE52" s="1">
        <v>2</v>
      </c>
      <c r="AF52" s="1">
        <f t="shared" si="7"/>
        <v>452</v>
      </c>
      <c r="AG52" s="1">
        <f t="shared" si="8"/>
        <v>963</v>
      </c>
      <c r="AH52" s="1">
        <f t="shared" si="9"/>
        <v>474</v>
      </c>
    </row>
    <row r="53" spans="12:34" ht="18" thickBot="1" x14ac:dyDescent="0.45">
      <c r="L53" s="8">
        <v>50</v>
      </c>
      <c r="M53" s="1">
        <v>36</v>
      </c>
      <c r="N53" s="9">
        <v>628</v>
      </c>
      <c r="O53" s="9">
        <v>3</v>
      </c>
      <c r="P53" s="1">
        <f t="shared" si="0"/>
        <v>149</v>
      </c>
      <c r="Q53" s="9">
        <v>126</v>
      </c>
      <c r="R53" s="10">
        <v>118</v>
      </c>
      <c r="S53" s="1"/>
      <c r="T53" s="8">
        <v>50</v>
      </c>
      <c r="U53" s="1">
        <f t="shared" si="10"/>
        <v>43905</v>
      </c>
      <c r="V53" s="1">
        <f t="shared" si="2"/>
        <v>80</v>
      </c>
      <c r="W53" s="1">
        <v>3</v>
      </c>
      <c r="X53" s="1">
        <f t="shared" si="11"/>
        <v>319</v>
      </c>
      <c r="Y53" s="1">
        <f t="shared" si="3"/>
        <v>596</v>
      </c>
      <c r="Z53" s="1">
        <f t="shared" si="4"/>
        <v>322</v>
      </c>
      <c r="AB53" s="8">
        <v>50</v>
      </c>
      <c r="AC53" s="1">
        <f t="shared" si="5"/>
        <v>116315</v>
      </c>
      <c r="AD53" s="1">
        <f t="shared" si="6"/>
        <v>98</v>
      </c>
      <c r="AE53" s="1">
        <v>2</v>
      </c>
      <c r="AF53" s="1">
        <f t="shared" si="7"/>
        <v>462</v>
      </c>
      <c r="AG53" s="1">
        <f t="shared" si="8"/>
        <v>1060</v>
      </c>
      <c r="AH53" s="1">
        <f t="shared" si="9"/>
        <v>498</v>
      </c>
    </row>
  </sheetData>
  <mergeCells count="3">
    <mergeCell ref="L2:R2"/>
    <mergeCell ref="T2:Z2"/>
    <mergeCell ref="AB2:AH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ExportMultiSheetsAsCSV">
                <anchor moveWithCells="1" sizeWithCells="1">
                  <from>
                    <xdr:col>0</xdr:col>
                    <xdr:colOff>68580</xdr:colOff>
                    <xdr:row>0</xdr:row>
                    <xdr:rowOff>106680</xdr:rowOff>
                  </from>
                  <to>
                    <xdr:col>3</xdr:col>
                    <xdr:colOff>457200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F4CBF-F784-4A8F-BBF4-ACFDEA9F2C6C}">
  <dimension ref="A1:I51"/>
  <sheetViews>
    <sheetView workbookViewId="0">
      <selection activeCell="E22" sqref="E22"/>
    </sheetView>
  </sheetViews>
  <sheetFormatPr defaultRowHeight="17.399999999999999" x14ac:dyDescent="0.4"/>
  <cols>
    <col min="1" max="4" width="8.796875" style="1"/>
    <col min="5" max="5" width="93.09765625" style="1" customWidth="1"/>
    <col min="6" max="16384" width="8.796875" style="1"/>
  </cols>
  <sheetData>
    <row r="1" spans="1:9" x14ac:dyDescent="0.4">
      <c r="A1" s="1" t="s">
        <v>0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 t="s">
        <v>95</v>
      </c>
      <c r="H1" s="1" t="s">
        <v>96</v>
      </c>
      <c r="I1" s="1" t="s">
        <v>97</v>
      </c>
    </row>
    <row r="2" spans="1:9" x14ac:dyDescent="0.4">
      <c r="A2" s="1">
        <v>1</v>
      </c>
      <c r="B2" s="1">
        <v>30</v>
      </c>
      <c r="C2" s="1">
        <v>30</v>
      </c>
      <c r="D2" s="1">
        <v>4</v>
      </c>
      <c r="E2" s="1" t="s">
        <v>109</v>
      </c>
      <c r="F2" s="1">
        <v>1.2</v>
      </c>
      <c r="G2" s="1">
        <v>10</v>
      </c>
      <c r="H2" s="1">
        <v>6</v>
      </c>
      <c r="I2" s="1">
        <v>5</v>
      </c>
    </row>
    <row r="3" spans="1:9" x14ac:dyDescent="0.4">
      <c r="A3" s="1">
        <v>2</v>
      </c>
      <c r="B3" s="1">
        <v>30</v>
      </c>
      <c r="C3" s="1">
        <v>30</v>
      </c>
      <c r="D3" s="1">
        <v>4</v>
      </c>
      <c r="E3" s="1" t="s">
        <v>109</v>
      </c>
      <c r="F3" s="1">
        <v>1.5</v>
      </c>
      <c r="G3" s="1">
        <v>11</v>
      </c>
      <c r="H3" s="1">
        <v>6</v>
      </c>
      <c r="I3" s="1">
        <v>5</v>
      </c>
    </row>
    <row r="4" spans="1:9" x14ac:dyDescent="0.4">
      <c r="A4" s="1">
        <v>3</v>
      </c>
      <c r="B4" s="1">
        <v>30</v>
      </c>
      <c r="C4" s="1">
        <v>30</v>
      </c>
      <c r="D4" s="1">
        <v>4</v>
      </c>
      <c r="E4" s="1" t="s">
        <v>109</v>
      </c>
      <c r="F4" s="1">
        <v>1.8</v>
      </c>
      <c r="G4" s="1">
        <v>13</v>
      </c>
      <c r="H4" s="1">
        <v>10</v>
      </c>
      <c r="I4" s="1">
        <v>6</v>
      </c>
    </row>
    <row r="5" spans="1:9" x14ac:dyDescent="0.4">
      <c r="A5" s="1">
        <v>4</v>
      </c>
      <c r="B5" s="1">
        <v>25</v>
      </c>
      <c r="C5" s="1">
        <v>30</v>
      </c>
      <c r="D5" s="1">
        <v>3</v>
      </c>
      <c r="E5" s="1" t="s">
        <v>109</v>
      </c>
      <c r="F5" s="1">
        <v>1.2</v>
      </c>
      <c r="G5" s="1">
        <v>16</v>
      </c>
      <c r="H5" s="1">
        <v>15</v>
      </c>
      <c r="I5" s="1">
        <v>6</v>
      </c>
    </row>
    <row r="6" spans="1:9" x14ac:dyDescent="0.4">
      <c r="A6" s="1">
        <v>5</v>
      </c>
      <c r="B6" s="1">
        <v>25</v>
      </c>
      <c r="C6" s="1">
        <v>30</v>
      </c>
      <c r="D6" s="1">
        <v>3</v>
      </c>
      <c r="E6" s="1" t="s">
        <v>109</v>
      </c>
      <c r="F6" s="1">
        <v>1.2</v>
      </c>
      <c r="G6" s="1">
        <v>20</v>
      </c>
      <c r="H6" s="1">
        <v>18</v>
      </c>
      <c r="I6" s="1">
        <v>6</v>
      </c>
    </row>
    <row r="7" spans="1:9" x14ac:dyDescent="0.4">
      <c r="A7" s="1">
        <v>6</v>
      </c>
      <c r="B7" s="1">
        <v>25</v>
      </c>
      <c r="C7" s="1">
        <v>20</v>
      </c>
      <c r="D7" s="1">
        <v>3</v>
      </c>
      <c r="E7" s="1" t="s">
        <v>109</v>
      </c>
      <c r="F7" s="1">
        <v>1.4</v>
      </c>
      <c r="G7" s="1">
        <v>25</v>
      </c>
      <c r="H7" s="1">
        <v>21</v>
      </c>
      <c r="I7" s="1">
        <v>7</v>
      </c>
    </row>
    <row r="8" spans="1:9" x14ac:dyDescent="0.4">
      <c r="A8" s="1">
        <v>7</v>
      </c>
      <c r="B8" s="1">
        <v>25</v>
      </c>
      <c r="C8" s="1">
        <v>20</v>
      </c>
      <c r="D8" s="1">
        <v>3</v>
      </c>
      <c r="E8" s="1" t="s">
        <v>109</v>
      </c>
      <c r="F8" s="1">
        <v>1.4</v>
      </c>
      <c r="G8" s="1">
        <v>31</v>
      </c>
      <c r="H8" s="1">
        <v>29</v>
      </c>
      <c r="I8" s="1">
        <v>7</v>
      </c>
    </row>
    <row r="9" spans="1:9" x14ac:dyDescent="0.4">
      <c r="A9" s="1">
        <v>8</v>
      </c>
      <c r="B9" s="1">
        <v>25</v>
      </c>
      <c r="C9" s="1">
        <v>20</v>
      </c>
      <c r="D9" s="1">
        <v>3</v>
      </c>
      <c r="E9" s="1" t="s">
        <v>109</v>
      </c>
      <c r="F9" s="1">
        <v>1.4</v>
      </c>
      <c r="G9" s="1">
        <v>38</v>
      </c>
      <c r="H9" s="1">
        <v>37</v>
      </c>
      <c r="I9" s="1">
        <v>7</v>
      </c>
    </row>
    <row r="10" spans="1:9" x14ac:dyDescent="0.4">
      <c r="A10" s="1">
        <v>9</v>
      </c>
      <c r="B10" s="1">
        <v>20</v>
      </c>
      <c r="C10" s="1">
        <v>20</v>
      </c>
      <c r="D10" s="1">
        <v>3</v>
      </c>
      <c r="E10" s="1" t="s">
        <v>109</v>
      </c>
      <c r="F10" s="1">
        <v>1.4</v>
      </c>
      <c r="G10" s="1">
        <v>46</v>
      </c>
      <c r="H10" s="1">
        <v>46</v>
      </c>
      <c r="I10" s="1">
        <v>7</v>
      </c>
    </row>
    <row r="11" spans="1:9" x14ac:dyDescent="0.4">
      <c r="A11" s="1">
        <v>10</v>
      </c>
      <c r="B11" s="1">
        <v>20</v>
      </c>
      <c r="C11" s="1">
        <v>20</v>
      </c>
      <c r="D11" s="1">
        <v>3</v>
      </c>
      <c r="E11" s="1" t="s">
        <v>141</v>
      </c>
      <c r="F11" s="1">
        <v>1.4</v>
      </c>
      <c r="G11" s="1">
        <v>55</v>
      </c>
      <c r="H11" s="1">
        <v>50</v>
      </c>
      <c r="I11" s="1">
        <v>7</v>
      </c>
    </row>
    <row r="12" spans="1:9" x14ac:dyDescent="0.4">
      <c r="A12" s="1">
        <v>11</v>
      </c>
      <c r="B12" s="1">
        <v>20</v>
      </c>
      <c r="C12" s="1">
        <v>20</v>
      </c>
      <c r="D12" s="1">
        <v>3</v>
      </c>
      <c r="E12" s="1" t="s">
        <v>141</v>
      </c>
      <c r="F12" s="1">
        <v>1.4</v>
      </c>
      <c r="G12" s="1">
        <v>65</v>
      </c>
      <c r="H12" s="1">
        <v>56</v>
      </c>
      <c r="I12" s="1">
        <v>7</v>
      </c>
    </row>
    <row r="13" spans="1:9" x14ac:dyDescent="0.4">
      <c r="A13" s="1">
        <v>12</v>
      </c>
      <c r="B13" s="1">
        <v>20</v>
      </c>
      <c r="C13" s="1">
        <v>20</v>
      </c>
      <c r="D13" s="1">
        <v>3</v>
      </c>
      <c r="E13" s="1" t="s">
        <v>141</v>
      </c>
      <c r="F13" s="1">
        <v>1.4</v>
      </c>
      <c r="G13" s="1">
        <v>76</v>
      </c>
      <c r="H13" s="1">
        <v>70</v>
      </c>
      <c r="I13" s="1">
        <v>8</v>
      </c>
    </row>
    <row r="14" spans="1:9" x14ac:dyDescent="0.4">
      <c r="A14" s="1">
        <v>13</v>
      </c>
      <c r="B14" s="1">
        <v>20</v>
      </c>
      <c r="C14" s="1">
        <v>20</v>
      </c>
      <c r="D14" s="1">
        <v>3</v>
      </c>
      <c r="E14" s="1" t="s">
        <v>141</v>
      </c>
      <c r="F14" s="1">
        <v>1.4</v>
      </c>
      <c r="G14" s="1">
        <v>76</v>
      </c>
      <c r="H14" s="1">
        <v>70</v>
      </c>
      <c r="I14" s="1">
        <v>8</v>
      </c>
    </row>
    <row r="15" spans="1:9" x14ac:dyDescent="0.4">
      <c r="A15" s="1">
        <v>14</v>
      </c>
      <c r="B15" s="1">
        <v>20</v>
      </c>
      <c r="C15" s="1">
        <v>20</v>
      </c>
      <c r="D15" s="1">
        <v>3</v>
      </c>
      <c r="E15" s="1" t="s">
        <v>141</v>
      </c>
      <c r="F15" s="1">
        <v>1.4</v>
      </c>
      <c r="G15" s="1">
        <v>76</v>
      </c>
      <c r="H15" s="1">
        <v>70</v>
      </c>
      <c r="I15" s="1">
        <v>8</v>
      </c>
    </row>
    <row r="16" spans="1:9" x14ac:dyDescent="0.4">
      <c r="A16" s="1">
        <v>15</v>
      </c>
      <c r="B16" s="1">
        <v>20</v>
      </c>
      <c r="C16" s="1">
        <v>20</v>
      </c>
      <c r="D16" s="1">
        <v>3</v>
      </c>
      <c r="E16" s="1" t="s">
        <v>141</v>
      </c>
      <c r="F16" s="1">
        <v>1.4</v>
      </c>
      <c r="G16" s="1">
        <v>76</v>
      </c>
      <c r="H16" s="1">
        <v>70</v>
      </c>
      <c r="I16" s="1">
        <v>8</v>
      </c>
    </row>
    <row r="17" spans="1:9" x14ac:dyDescent="0.4">
      <c r="A17" s="1">
        <v>16</v>
      </c>
      <c r="B17" s="1">
        <v>20</v>
      </c>
      <c r="C17" s="1">
        <v>20</v>
      </c>
      <c r="D17" s="1">
        <v>3</v>
      </c>
      <c r="E17" s="1" t="s">
        <v>141</v>
      </c>
      <c r="F17" s="1">
        <v>1.4</v>
      </c>
      <c r="G17" s="1">
        <v>76</v>
      </c>
      <c r="H17" s="1">
        <v>70</v>
      </c>
      <c r="I17" s="1">
        <v>8</v>
      </c>
    </row>
    <row r="18" spans="1:9" x14ac:dyDescent="0.4">
      <c r="A18" s="1">
        <v>17</v>
      </c>
      <c r="B18" s="1">
        <v>20</v>
      </c>
      <c r="C18" s="1">
        <v>20</v>
      </c>
      <c r="D18" s="1">
        <v>3</v>
      </c>
      <c r="E18" s="1" t="s">
        <v>141</v>
      </c>
      <c r="F18" s="1">
        <v>1.4</v>
      </c>
      <c r="G18" s="1">
        <v>76</v>
      </c>
      <c r="H18" s="1">
        <v>70</v>
      </c>
      <c r="I18" s="1">
        <v>8</v>
      </c>
    </row>
    <row r="19" spans="1:9" x14ac:dyDescent="0.4">
      <c r="A19" s="1">
        <v>18</v>
      </c>
      <c r="B19" s="1">
        <v>20</v>
      </c>
      <c r="C19" s="1">
        <v>20</v>
      </c>
      <c r="D19" s="1">
        <v>3</v>
      </c>
      <c r="E19" s="1" t="s">
        <v>141</v>
      </c>
      <c r="F19" s="1">
        <v>1.4</v>
      </c>
      <c r="G19" s="1">
        <v>76</v>
      </c>
      <c r="H19" s="1">
        <v>70</v>
      </c>
      <c r="I19" s="1">
        <v>9</v>
      </c>
    </row>
    <row r="20" spans="1:9" x14ac:dyDescent="0.4">
      <c r="A20" s="1">
        <v>19</v>
      </c>
      <c r="B20" s="1">
        <v>20</v>
      </c>
      <c r="C20" s="1">
        <v>20</v>
      </c>
      <c r="D20" s="1">
        <v>3</v>
      </c>
      <c r="E20" s="1" t="s">
        <v>141</v>
      </c>
      <c r="F20" s="1">
        <v>1.4</v>
      </c>
      <c r="G20" s="1">
        <v>76</v>
      </c>
      <c r="H20" s="1">
        <v>70</v>
      </c>
      <c r="I20" s="1">
        <v>9</v>
      </c>
    </row>
    <row r="21" spans="1:9" x14ac:dyDescent="0.4">
      <c r="A21" s="1">
        <v>20</v>
      </c>
      <c r="B21" s="1">
        <v>20</v>
      </c>
      <c r="C21" s="1">
        <v>20</v>
      </c>
      <c r="D21" s="1">
        <v>3</v>
      </c>
      <c r="E21" s="1" t="s">
        <v>141</v>
      </c>
      <c r="F21" s="1">
        <v>1.4</v>
      </c>
      <c r="G21" s="1">
        <v>76</v>
      </c>
      <c r="H21" s="1">
        <v>70</v>
      </c>
      <c r="I21" s="1">
        <v>9</v>
      </c>
    </row>
    <row r="22" spans="1:9" x14ac:dyDescent="0.4">
      <c r="A22" s="1">
        <v>21</v>
      </c>
      <c r="B22" s="1">
        <v>20</v>
      </c>
      <c r="C22" s="1">
        <v>20</v>
      </c>
      <c r="D22" s="1">
        <v>3</v>
      </c>
      <c r="E22" s="1" t="s">
        <v>111</v>
      </c>
      <c r="F22" s="1">
        <v>1.4</v>
      </c>
      <c r="G22" s="1">
        <v>76</v>
      </c>
      <c r="H22" s="1">
        <v>70</v>
      </c>
      <c r="I22" s="1">
        <v>9</v>
      </c>
    </row>
    <row r="23" spans="1:9" x14ac:dyDescent="0.4">
      <c r="A23" s="1">
        <v>22</v>
      </c>
      <c r="B23" s="1">
        <v>20</v>
      </c>
      <c r="C23" s="1">
        <v>20</v>
      </c>
      <c r="D23" s="1">
        <v>3</v>
      </c>
      <c r="E23" s="1" t="s">
        <v>112</v>
      </c>
      <c r="F23" s="1">
        <v>1.4</v>
      </c>
      <c r="G23" s="1">
        <v>76</v>
      </c>
      <c r="H23" s="1">
        <v>70</v>
      </c>
      <c r="I23" s="1">
        <v>9</v>
      </c>
    </row>
    <row r="24" spans="1:9" x14ac:dyDescent="0.4">
      <c r="A24" s="1">
        <v>23</v>
      </c>
      <c r="B24" s="1">
        <v>20</v>
      </c>
      <c r="C24" s="1">
        <v>20</v>
      </c>
      <c r="D24" s="1">
        <v>3</v>
      </c>
      <c r="E24" s="1" t="s">
        <v>113</v>
      </c>
      <c r="F24" s="1">
        <v>1.4</v>
      </c>
      <c r="G24" s="1">
        <v>76</v>
      </c>
      <c r="H24" s="1">
        <v>70</v>
      </c>
      <c r="I24" s="1">
        <v>9</v>
      </c>
    </row>
    <row r="25" spans="1:9" x14ac:dyDescent="0.4">
      <c r="A25" s="1">
        <v>24</v>
      </c>
      <c r="B25" s="1">
        <v>20</v>
      </c>
      <c r="C25" s="1">
        <v>20</v>
      </c>
      <c r="D25" s="1">
        <v>3</v>
      </c>
      <c r="E25" s="1" t="s">
        <v>114</v>
      </c>
      <c r="F25" s="1">
        <v>1.4</v>
      </c>
      <c r="G25" s="1">
        <v>76</v>
      </c>
      <c r="H25" s="1">
        <v>70</v>
      </c>
      <c r="I25" s="1">
        <v>10</v>
      </c>
    </row>
    <row r="26" spans="1:9" x14ac:dyDescent="0.4">
      <c r="A26" s="1">
        <v>25</v>
      </c>
      <c r="B26" s="1">
        <v>20</v>
      </c>
      <c r="C26" s="1">
        <v>20</v>
      </c>
      <c r="D26" s="1">
        <v>3</v>
      </c>
      <c r="E26" s="1" t="s">
        <v>115</v>
      </c>
      <c r="F26" s="1">
        <v>1.4</v>
      </c>
      <c r="G26" s="1">
        <v>76</v>
      </c>
      <c r="H26" s="1">
        <v>70</v>
      </c>
      <c r="I26" s="1">
        <v>10</v>
      </c>
    </row>
    <row r="27" spans="1:9" x14ac:dyDescent="0.4">
      <c r="A27" s="1">
        <v>26</v>
      </c>
      <c r="B27" s="1">
        <v>20</v>
      </c>
      <c r="C27" s="1">
        <v>20</v>
      </c>
      <c r="D27" s="1">
        <v>3</v>
      </c>
      <c r="E27" s="1" t="s">
        <v>116</v>
      </c>
      <c r="F27" s="1">
        <v>1.4</v>
      </c>
      <c r="G27" s="1">
        <v>76</v>
      </c>
      <c r="H27" s="1">
        <v>70</v>
      </c>
      <c r="I27" s="1">
        <v>10</v>
      </c>
    </row>
    <row r="28" spans="1:9" x14ac:dyDescent="0.4">
      <c r="A28" s="1">
        <v>27</v>
      </c>
      <c r="B28" s="1">
        <v>20</v>
      </c>
      <c r="C28" s="1">
        <v>20</v>
      </c>
      <c r="D28" s="1">
        <v>3</v>
      </c>
      <c r="E28" s="1" t="s">
        <v>117</v>
      </c>
      <c r="F28" s="1">
        <v>1.4</v>
      </c>
      <c r="G28" s="1">
        <v>76</v>
      </c>
      <c r="H28" s="1">
        <v>70</v>
      </c>
      <c r="I28" s="1">
        <v>10</v>
      </c>
    </row>
    <row r="29" spans="1:9" x14ac:dyDescent="0.4">
      <c r="A29" s="1">
        <v>28</v>
      </c>
      <c r="B29" s="1">
        <v>20</v>
      </c>
      <c r="C29" s="1">
        <v>20</v>
      </c>
      <c r="D29" s="1">
        <v>3</v>
      </c>
      <c r="E29" s="1" t="s">
        <v>118</v>
      </c>
      <c r="F29" s="1">
        <v>1.4</v>
      </c>
      <c r="G29" s="1">
        <v>76</v>
      </c>
      <c r="H29" s="1">
        <v>70</v>
      </c>
      <c r="I29" s="1">
        <v>10</v>
      </c>
    </row>
    <row r="30" spans="1:9" x14ac:dyDescent="0.4">
      <c r="A30" s="1">
        <v>29</v>
      </c>
      <c r="B30" s="1">
        <v>20</v>
      </c>
      <c r="C30" s="1">
        <v>20</v>
      </c>
      <c r="D30" s="1">
        <v>3</v>
      </c>
      <c r="E30" s="1" t="s">
        <v>119</v>
      </c>
      <c r="F30" s="1">
        <v>1.4</v>
      </c>
      <c r="G30" s="1">
        <v>76</v>
      </c>
      <c r="H30" s="1">
        <v>70</v>
      </c>
      <c r="I30" s="1">
        <v>10</v>
      </c>
    </row>
    <row r="31" spans="1:9" x14ac:dyDescent="0.4">
      <c r="A31" s="1">
        <v>30</v>
      </c>
      <c r="B31" s="1">
        <v>20</v>
      </c>
      <c r="C31" s="1">
        <v>20</v>
      </c>
      <c r="D31" s="1">
        <v>3</v>
      </c>
      <c r="E31" s="1" t="s">
        <v>120</v>
      </c>
      <c r="F31" s="1">
        <v>1.4</v>
      </c>
      <c r="G31" s="1">
        <v>76</v>
      </c>
      <c r="H31" s="1">
        <v>70</v>
      </c>
      <c r="I31" s="1">
        <v>10</v>
      </c>
    </row>
    <row r="32" spans="1:9" x14ac:dyDescent="0.4">
      <c r="A32" s="1">
        <v>31</v>
      </c>
      <c r="B32" s="1">
        <v>20</v>
      </c>
      <c r="C32" s="1">
        <v>20</v>
      </c>
      <c r="D32" s="1">
        <v>3</v>
      </c>
      <c r="E32" s="1" t="s">
        <v>121</v>
      </c>
      <c r="F32" s="1">
        <v>1.4</v>
      </c>
      <c r="G32" s="1">
        <v>76</v>
      </c>
      <c r="H32" s="1">
        <v>70</v>
      </c>
      <c r="I32" s="1">
        <v>10</v>
      </c>
    </row>
    <row r="33" spans="1:9" x14ac:dyDescent="0.4">
      <c r="A33" s="1">
        <v>32</v>
      </c>
      <c r="B33" s="1">
        <v>20</v>
      </c>
      <c r="C33" s="1">
        <v>20</v>
      </c>
      <c r="D33" s="1">
        <v>3</v>
      </c>
      <c r="E33" s="1" t="s">
        <v>122</v>
      </c>
      <c r="F33" s="1">
        <v>1.4</v>
      </c>
      <c r="G33" s="1">
        <v>76</v>
      </c>
      <c r="H33" s="1">
        <v>70</v>
      </c>
      <c r="I33" s="1">
        <v>11</v>
      </c>
    </row>
    <row r="34" spans="1:9" x14ac:dyDescent="0.4">
      <c r="A34" s="1">
        <v>33</v>
      </c>
      <c r="B34" s="1">
        <v>20</v>
      </c>
      <c r="C34" s="1">
        <v>20</v>
      </c>
      <c r="D34" s="1">
        <v>3</v>
      </c>
      <c r="E34" s="1" t="s">
        <v>123</v>
      </c>
      <c r="F34" s="1">
        <v>1.4</v>
      </c>
      <c r="G34" s="1">
        <v>76</v>
      </c>
      <c r="H34" s="1">
        <v>70</v>
      </c>
      <c r="I34" s="1">
        <v>11</v>
      </c>
    </row>
    <row r="35" spans="1:9" x14ac:dyDescent="0.4">
      <c r="A35" s="1">
        <v>34</v>
      </c>
      <c r="B35" s="1">
        <v>20</v>
      </c>
      <c r="C35" s="1">
        <v>20</v>
      </c>
      <c r="D35" s="1">
        <v>3</v>
      </c>
      <c r="E35" s="1" t="s">
        <v>124</v>
      </c>
      <c r="F35" s="1">
        <v>1.4</v>
      </c>
      <c r="G35" s="1">
        <v>76</v>
      </c>
      <c r="H35" s="1">
        <v>70</v>
      </c>
      <c r="I35" s="1">
        <v>11</v>
      </c>
    </row>
    <row r="36" spans="1:9" x14ac:dyDescent="0.4">
      <c r="A36" s="1">
        <v>35</v>
      </c>
      <c r="B36" s="1">
        <v>20</v>
      </c>
      <c r="C36" s="1">
        <v>20</v>
      </c>
      <c r="D36" s="1">
        <v>3</v>
      </c>
      <c r="E36" s="1" t="s">
        <v>125</v>
      </c>
      <c r="F36" s="1">
        <v>1.4</v>
      </c>
      <c r="G36" s="1">
        <v>76</v>
      </c>
      <c r="H36" s="1">
        <v>70</v>
      </c>
      <c r="I36" s="1">
        <v>11</v>
      </c>
    </row>
    <row r="37" spans="1:9" x14ac:dyDescent="0.4">
      <c r="A37" s="1">
        <v>36</v>
      </c>
      <c r="B37" s="1">
        <v>20</v>
      </c>
      <c r="C37" s="1">
        <v>20</v>
      </c>
      <c r="D37" s="1">
        <v>3</v>
      </c>
      <c r="E37" s="1" t="s">
        <v>126</v>
      </c>
      <c r="F37" s="1">
        <v>1.4</v>
      </c>
      <c r="G37" s="1">
        <v>76</v>
      </c>
      <c r="H37" s="1">
        <v>70</v>
      </c>
      <c r="I37" s="1">
        <v>11</v>
      </c>
    </row>
    <row r="38" spans="1:9" x14ac:dyDescent="0.4">
      <c r="A38" s="1">
        <v>37</v>
      </c>
      <c r="B38" s="1">
        <v>20</v>
      </c>
      <c r="C38" s="1">
        <v>20</v>
      </c>
      <c r="D38" s="1">
        <v>3</v>
      </c>
      <c r="E38" s="1" t="s">
        <v>127</v>
      </c>
      <c r="F38" s="1">
        <v>1.4</v>
      </c>
      <c r="G38" s="1">
        <v>76</v>
      </c>
      <c r="H38" s="1">
        <v>70</v>
      </c>
      <c r="I38" s="1">
        <v>11</v>
      </c>
    </row>
    <row r="39" spans="1:9" x14ac:dyDescent="0.4">
      <c r="A39" s="1">
        <v>38</v>
      </c>
      <c r="B39" s="1">
        <v>20</v>
      </c>
      <c r="C39" s="1">
        <v>20</v>
      </c>
      <c r="D39" s="1">
        <v>3</v>
      </c>
      <c r="E39" s="1" t="s">
        <v>128</v>
      </c>
      <c r="F39" s="1">
        <v>1.4</v>
      </c>
      <c r="G39" s="1">
        <v>76</v>
      </c>
      <c r="H39" s="1">
        <v>70</v>
      </c>
      <c r="I39" s="1">
        <v>11</v>
      </c>
    </row>
    <row r="40" spans="1:9" x14ac:dyDescent="0.4">
      <c r="A40" s="1">
        <v>39</v>
      </c>
      <c r="B40" s="1">
        <v>20</v>
      </c>
      <c r="C40" s="1">
        <v>20</v>
      </c>
      <c r="D40" s="1">
        <v>3</v>
      </c>
      <c r="E40" s="1" t="s">
        <v>129</v>
      </c>
      <c r="F40" s="1">
        <v>1.4</v>
      </c>
      <c r="G40" s="1">
        <v>76</v>
      </c>
      <c r="H40" s="1">
        <v>70</v>
      </c>
      <c r="I40" s="1">
        <v>11</v>
      </c>
    </row>
    <row r="41" spans="1:9" x14ac:dyDescent="0.4">
      <c r="A41" s="1">
        <v>40</v>
      </c>
      <c r="B41" s="1">
        <v>20</v>
      </c>
      <c r="C41" s="1">
        <v>20</v>
      </c>
      <c r="D41" s="1">
        <v>3</v>
      </c>
      <c r="E41" s="1" t="s">
        <v>130</v>
      </c>
      <c r="F41" s="1">
        <v>1.4</v>
      </c>
      <c r="G41" s="1">
        <v>76</v>
      </c>
      <c r="H41" s="1">
        <v>70</v>
      </c>
      <c r="I41" s="1">
        <v>11</v>
      </c>
    </row>
    <row r="42" spans="1:9" x14ac:dyDescent="0.4">
      <c r="A42" s="1">
        <v>41</v>
      </c>
      <c r="B42" s="1">
        <v>20</v>
      </c>
      <c r="C42" s="1">
        <v>20</v>
      </c>
      <c r="D42" s="1">
        <v>3</v>
      </c>
      <c r="E42" s="1" t="s">
        <v>131</v>
      </c>
      <c r="F42" s="1">
        <v>1.4</v>
      </c>
      <c r="G42" s="1">
        <v>76</v>
      </c>
      <c r="H42" s="1">
        <v>70</v>
      </c>
      <c r="I42" s="1">
        <v>11</v>
      </c>
    </row>
    <row r="43" spans="1:9" x14ac:dyDescent="0.4">
      <c r="A43" s="1">
        <v>42</v>
      </c>
      <c r="B43" s="1">
        <v>20</v>
      </c>
      <c r="C43" s="1">
        <v>20</v>
      </c>
      <c r="D43" s="1">
        <v>3</v>
      </c>
      <c r="E43" s="1" t="s">
        <v>132</v>
      </c>
      <c r="F43" s="1">
        <v>1.4</v>
      </c>
      <c r="G43" s="1">
        <v>76</v>
      </c>
      <c r="H43" s="1">
        <v>70</v>
      </c>
      <c r="I43" s="1">
        <v>12</v>
      </c>
    </row>
    <row r="44" spans="1:9" x14ac:dyDescent="0.4">
      <c r="A44" s="1">
        <v>43</v>
      </c>
      <c r="B44" s="1">
        <v>20</v>
      </c>
      <c r="C44" s="1">
        <v>20</v>
      </c>
      <c r="D44" s="1">
        <v>3</v>
      </c>
      <c r="E44" s="1" t="s">
        <v>133</v>
      </c>
      <c r="F44" s="1">
        <v>1.4</v>
      </c>
      <c r="G44" s="1">
        <v>76</v>
      </c>
      <c r="H44" s="1">
        <v>70</v>
      </c>
      <c r="I44" s="1">
        <v>12</v>
      </c>
    </row>
    <row r="45" spans="1:9" x14ac:dyDescent="0.4">
      <c r="A45" s="1">
        <v>44</v>
      </c>
      <c r="B45" s="1">
        <v>20</v>
      </c>
      <c r="C45" s="1">
        <v>20</v>
      </c>
      <c r="D45" s="1">
        <v>3</v>
      </c>
      <c r="E45" s="1" t="s">
        <v>134</v>
      </c>
      <c r="F45" s="1">
        <v>1.4</v>
      </c>
      <c r="G45" s="1">
        <v>76</v>
      </c>
      <c r="H45" s="1">
        <v>70</v>
      </c>
      <c r="I45" s="1">
        <v>12</v>
      </c>
    </row>
    <row r="46" spans="1:9" x14ac:dyDescent="0.4">
      <c r="A46" s="1">
        <v>45</v>
      </c>
      <c r="B46" s="1">
        <v>20</v>
      </c>
      <c r="C46" s="1">
        <v>20</v>
      </c>
      <c r="D46" s="1">
        <v>3</v>
      </c>
      <c r="E46" s="1" t="s">
        <v>135</v>
      </c>
      <c r="F46" s="1">
        <v>1.4</v>
      </c>
      <c r="G46" s="1">
        <v>76</v>
      </c>
      <c r="H46" s="1">
        <v>70</v>
      </c>
      <c r="I46" s="1">
        <v>12</v>
      </c>
    </row>
    <row r="47" spans="1:9" x14ac:dyDescent="0.4">
      <c r="A47" s="1">
        <v>46</v>
      </c>
      <c r="B47" s="1">
        <v>20</v>
      </c>
      <c r="C47" s="1">
        <v>20</v>
      </c>
      <c r="D47" s="1">
        <v>3</v>
      </c>
      <c r="E47" s="1" t="s">
        <v>136</v>
      </c>
      <c r="F47" s="1">
        <v>1.4</v>
      </c>
      <c r="G47" s="1">
        <v>76</v>
      </c>
      <c r="H47" s="1">
        <v>70</v>
      </c>
      <c r="I47" s="1">
        <v>12</v>
      </c>
    </row>
    <row r="48" spans="1:9" x14ac:dyDescent="0.4">
      <c r="A48" s="1">
        <v>47</v>
      </c>
      <c r="B48" s="1">
        <v>20</v>
      </c>
      <c r="C48" s="1">
        <v>20</v>
      </c>
      <c r="D48" s="1">
        <v>3</v>
      </c>
      <c r="E48" s="1" t="s">
        <v>137</v>
      </c>
      <c r="F48" s="1">
        <v>1.4</v>
      </c>
      <c r="G48" s="1">
        <v>76</v>
      </c>
      <c r="H48" s="1">
        <v>70</v>
      </c>
      <c r="I48" s="1">
        <v>12</v>
      </c>
    </row>
    <row r="49" spans="1:9" x14ac:dyDescent="0.4">
      <c r="A49" s="1">
        <v>48</v>
      </c>
      <c r="B49" s="1">
        <v>20</v>
      </c>
      <c r="C49" s="1">
        <v>20</v>
      </c>
      <c r="D49" s="1">
        <v>3</v>
      </c>
      <c r="E49" s="1" t="s">
        <v>138</v>
      </c>
      <c r="F49" s="1">
        <v>1.4</v>
      </c>
      <c r="G49" s="1">
        <v>76</v>
      </c>
      <c r="H49" s="1">
        <v>70</v>
      </c>
      <c r="I49" s="1">
        <v>12</v>
      </c>
    </row>
    <row r="50" spans="1:9" x14ac:dyDescent="0.4">
      <c r="A50" s="1">
        <v>49</v>
      </c>
      <c r="B50" s="1">
        <v>20</v>
      </c>
      <c r="C50" s="1">
        <v>20</v>
      </c>
      <c r="D50" s="1">
        <v>3</v>
      </c>
      <c r="E50" s="1" t="s">
        <v>139</v>
      </c>
      <c r="F50" s="1">
        <v>1.4</v>
      </c>
      <c r="G50" s="1">
        <v>76</v>
      </c>
      <c r="H50" s="1">
        <v>70</v>
      </c>
      <c r="I50" s="1">
        <v>12</v>
      </c>
    </row>
    <row r="51" spans="1:9" x14ac:dyDescent="0.4">
      <c r="A51" s="1">
        <v>50</v>
      </c>
      <c r="B51" s="1">
        <v>20</v>
      </c>
      <c r="C51" s="1">
        <v>20</v>
      </c>
      <c r="D51" s="1">
        <v>3</v>
      </c>
      <c r="E51" s="1" t="s">
        <v>140</v>
      </c>
      <c r="F51" s="1">
        <v>1.4</v>
      </c>
      <c r="G51" s="1">
        <v>76</v>
      </c>
      <c r="H51" s="1">
        <v>70</v>
      </c>
      <c r="I51" s="1">
        <v>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D49C1-64B7-4403-B67A-08F1690B704D}">
  <sheetPr codeName="Sheet2"/>
  <dimension ref="A1:N51"/>
  <sheetViews>
    <sheetView workbookViewId="0">
      <selection activeCell="B2" sqref="B2"/>
    </sheetView>
  </sheetViews>
  <sheetFormatPr defaultRowHeight="17.399999999999999" x14ac:dyDescent="0.4"/>
  <cols>
    <col min="1" max="1" width="27.69921875" customWidth="1"/>
    <col min="2" max="2" width="10.09765625" customWidth="1"/>
  </cols>
  <sheetData>
    <row r="1" spans="1:14" ht="33.75" customHeigh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4">
      <c r="A2" s="1">
        <v>0</v>
      </c>
      <c r="B2" s="1">
        <v>12</v>
      </c>
      <c r="C2" s="1">
        <v>20</v>
      </c>
      <c r="D2" s="1">
        <v>1500</v>
      </c>
      <c r="E2" s="1">
        <v>2</v>
      </c>
      <c r="F2" s="1">
        <v>1000</v>
      </c>
      <c r="G2" s="1">
        <v>1</v>
      </c>
      <c r="H2" s="1">
        <v>0</v>
      </c>
      <c r="I2" s="1">
        <v>0.2</v>
      </c>
      <c r="J2" s="1">
        <v>600</v>
      </c>
      <c r="K2" s="1">
        <v>0</v>
      </c>
      <c r="L2" s="1">
        <v>1</v>
      </c>
      <c r="M2" s="1">
        <v>0</v>
      </c>
      <c r="N2" s="1">
        <v>1</v>
      </c>
    </row>
    <row r="3" spans="1:14" x14ac:dyDescent="0.4">
      <c r="A3" s="1">
        <v>1</v>
      </c>
      <c r="B3" s="1">
        <v>14</v>
      </c>
      <c r="C3" s="1">
        <v>22</v>
      </c>
      <c r="D3" s="1">
        <v>1520</v>
      </c>
      <c r="E3" s="1">
        <v>3</v>
      </c>
      <c r="F3" s="1">
        <v>1020</v>
      </c>
      <c r="G3" s="1">
        <v>0.98</v>
      </c>
      <c r="H3" s="1">
        <v>40</v>
      </c>
      <c r="I3" s="1">
        <v>0.22</v>
      </c>
      <c r="J3" s="1">
        <v>610</v>
      </c>
      <c r="K3" s="1">
        <v>5000</v>
      </c>
      <c r="L3" s="1">
        <v>2</v>
      </c>
      <c r="M3" s="1">
        <v>100</v>
      </c>
      <c r="N3" s="1">
        <v>2</v>
      </c>
    </row>
    <row r="4" spans="1:14" x14ac:dyDescent="0.4">
      <c r="A4" s="1">
        <v>2</v>
      </c>
      <c r="B4" s="1">
        <v>21</v>
      </c>
      <c r="C4" s="1">
        <v>30</v>
      </c>
      <c r="D4" s="1">
        <v>1565</v>
      </c>
      <c r="E4" s="1">
        <v>6</v>
      </c>
      <c r="F4" s="1">
        <v>1050</v>
      </c>
      <c r="G4" s="1">
        <v>0.94</v>
      </c>
      <c r="H4" s="1">
        <v>40</v>
      </c>
      <c r="I4" s="1">
        <v>0.26</v>
      </c>
      <c r="J4" s="1">
        <v>650</v>
      </c>
      <c r="K4" s="1">
        <v>5100</v>
      </c>
      <c r="L4" s="1">
        <v>3</v>
      </c>
      <c r="M4" s="1">
        <v>108</v>
      </c>
      <c r="N4" s="1">
        <v>3</v>
      </c>
    </row>
    <row r="5" spans="1:14" x14ac:dyDescent="0.4">
      <c r="A5" s="1">
        <v>3</v>
      </c>
      <c r="B5" s="1">
        <v>31</v>
      </c>
      <c r="C5" s="1">
        <v>42</v>
      </c>
      <c r="D5" s="1">
        <v>1611</v>
      </c>
      <c r="E5" s="1">
        <v>10</v>
      </c>
      <c r="F5" s="1">
        <v>1100</v>
      </c>
      <c r="G5" s="1">
        <v>0.9</v>
      </c>
      <c r="H5" s="1">
        <v>40</v>
      </c>
      <c r="I5" s="1">
        <v>0.31</v>
      </c>
      <c r="J5" s="1">
        <v>700</v>
      </c>
      <c r="K5" s="1">
        <v>5200</v>
      </c>
      <c r="L5" s="1">
        <v>4</v>
      </c>
      <c r="M5" s="1">
        <v>116</v>
      </c>
      <c r="N5" s="1">
        <v>4</v>
      </c>
    </row>
    <row r="6" spans="1:14" x14ac:dyDescent="0.4">
      <c r="A6" s="1">
        <v>4</v>
      </c>
      <c r="B6" s="1">
        <v>46</v>
      </c>
      <c r="C6" s="1">
        <v>58</v>
      </c>
      <c r="D6" s="1">
        <v>1659</v>
      </c>
      <c r="E6" s="1">
        <v>15</v>
      </c>
      <c r="F6" s="1">
        <v>1200</v>
      </c>
      <c r="G6" s="1">
        <v>0.86</v>
      </c>
      <c r="H6" s="1">
        <v>40</v>
      </c>
      <c r="I6" s="1">
        <v>0.37</v>
      </c>
      <c r="J6" s="1">
        <v>750</v>
      </c>
      <c r="K6" s="1">
        <v>5300</v>
      </c>
      <c r="L6" s="1">
        <v>5</v>
      </c>
      <c r="M6" s="1">
        <v>125</v>
      </c>
      <c r="N6" s="1">
        <v>5</v>
      </c>
    </row>
    <row r="7" spans="1:14" x14ac:dyDescent="0.4">
      <c r="A7" s="1">
        <v>5</v>
      </c>
      <c r="B7" s="1">
        <v>69</v>
      </c>
      <c r="C7" s="1">
        <v>81</v>
      </c>
      <c r="D7" s="1">
        <v>1708</v>
      </c>
      <c r="E7" s="1">
        <v>21</v>
      </c>
      <c r="F7" s="1">
        <v>1400</v>
      </c>
      <c r="G7" s="1">
        <v>0.82</v>
      </c>
      <c r="H7" s="1">
        <v>40</v>
      </c>
      <c r="I7" s="1">
        <v>0.44</v>
      </c>
      <c r="J7" s="1">
        <v>810</v>
      </c>
      <c r="K7" s="1">
        <v>5400</v>
      </c>
      <c r="L7" s="1">
        <v>6</v>
      </c>
      <c r="M7" s="1">
        <v>135</v>
      </c>
      <c r="N7" s="1">
        <v>6</v>
      </c>
    </row>
    <row r="8" spans="1:14" x14ac:dyDescent="0.4">
      <c r="A8" s="1">
        <v>6</v>
      </c>
      <c r="B8" s="1">
        <v>103</v>
      </c>
      <c r="C8" s="1">
        <v>113</v>
      </c>
      <c r="D8" s="1">
        <v>1759</v>
      </c>
      <c r="E8" s="1">
        <v>28</v>
      </c>
      <c r="F8" s="1">
        <v>1428</v>
      </c>
      <c r="G8" s="1">
        <v>0.78</v>
      </c>
      <c r="H8" s="1">
        <v>40</v>
      </c>
      <c r="I8" s="1">
        <v>0.52</v>
      </c>
      <c r="J8" s="1">
        <v>870</v>
      </c>
      <c r="K8" s="1">
        <v>5500</v>
      </c>
      <c r="L8" s="1">
        <v>7</v>
      </c>
      <c r="M8" s="1">
        <v>145</v>
      </c>
      <c r="N8" s="1">
        <v>7</v>
      </c>
    </row>
    <row r="9" spans="1:14" x14ac:dyDescent="0.4">
      <c r="A9" s="1">
        <v>7</v>
      </c>
      <c r="B9" s="1">
        <v>154</v>
      </c>
      <c r="C9" s="1">
        <v>158</v>
      </c>
      <c r="D9" s="1">
        <v>1811</v>
      </c>
      <c r="E9" s="1">
        <v>36</v>
      </c>
      <c r="F9" s="1">
        <v>1500</v>
      </c>
      <c r="G9" s="1">
        <v>0.74</v>
      </c>
      <c r="H9" s="1">
        <v>40</v>
      </c>
      <c r="I9" s="1">
        <v>0.62</v>
      </c>
      <c r="J9" s="1">
        <v>930</v>
      </c>
      <c r="K9" s="1">
        <v>5600</v>
      </c>
      <c r="L9" s="1">
        <v>8</v>
      </c>
      <c r="M9" s="1">
        <v>156</v>
      </c>
      <c r="N9" s="1">
        <v>8</v>
      </c>
    </row>
    <row r="10" spans="1:14" x14ac:dyDescent="0.4">
      <c r="A10" s="1">
        <v>8</v>
      </c>
      <c r="B10" s="1">
        <v>190</v>
      </c>
      <c r="C10" s="1">
        <v>221</v>
      </c>
      <c r="D10" s="1">
        <v>1865</v>
      </c>
      <c r="E10" s="1">
        <v>45</v>
      </c>
      <c r="F10" s="1">
        <v>1600</v>
      </c>
      <c r="G10" s="1">
        <v>0.71</v>
      </c>
      <c r="H10" s="1">
        <v>40</v>
      </c>
      <c r="I10" s="1">
        <v>0.74</v>
      </c>
      <c r="J10" s="1">
        <v>1000</v>
      </c>
      <c r="K10" s="1">
        <v>5700</v>
      </c>
      <c r="L10" s="1">
        <v>9</v>
      </c>
      <c r="M10" s="1">
        <v>168</v>
      </c>
      <c r="N10" s="1">
        <v>9</v>
      </c>
    </row>
    <row r="11" spans="1:14" x14ac:dyDescent="0.4">
      <c r="A11" s="1">
        <v>9</v>
      </c>
      <c r="B11" s="1">
        <v>270</v>
      </c>
      <c r="C11" s="1">
        <v>309</v>
      </c>
      <c r="D11" s="1">
        <v>1920</v>
      </c>
      <c r="E11" s="1">
        <v>55</v>
      </c>
      <c r="F11" s="1">
        <v>1700</v>
      </c>
      <c r="G11" s="1">
        <v>0.68</v>
      </c>
      <c r="H11" s="1">
        <v>40</v>
      </c>
      <c r="I11" s="1">
        <v>0.88</v>
      </c>
      <c r="J11" s="1">
        <v>1080</v>
      </c>
      <c r="K11" s="1">
        <v>5800</v>
      </c>
      <c r="L11" s="1">
        <v>10</v>
      </c>
      <c r="M11" s="1">
        <v>181</v>
      </c>
      <c r="N11" s="1">
        <v>10</v>
      </c>
    </row>
    <row r="12" spans="1:14" x14ac:dyDescent="0.4">
      <c r="A12" s="1">
        <v>10</v>
      </c>
      <c r="B12" s="1">
        <v>359</v>
      </c>
      <c r="C12" s="1">
        <v>432</v>
      </c>
      <c r="D12" s="1">
        <v>1977</v>
      </c>
      <c r="E12" s="1">
        <v>66</v>
      </c>
      <c r="F12" s="1">
        <v>1800</v>
      </c>
      <c r="G12" s="1">
        <v>0.65</v>
      </c>
      <c r="H12" s="1">
        <v>40</v>
      </c>
      <c r="I12" s="1">
        <v>1.05</v>
      </c>
      <c r="J12" s="1">
        <v>1160</v>
      </c>
      <c r="K12" s="1">
        <v>5900</v>
      </c>
      <c r="L12" s="1">
        <v>11</v>
      </c>
      <c r="M12" s="1">
        <v>195</v>
      </c>
      <c r="N12" s="1">
        <v>11</v>
      </c>
    </row>
    <row r="13" spans="1:14" x14ac:dyDescent="0.4">
      <c r="A13" s="1">
        <v>11</v>
      </c>
      <c r="B13" s="1">
        <v>477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</row>
    <row r="14" spans="1:14" x14ac:dyDescent="0.4">
      <c r="A14" s="1">
        <v>12</v>
      </c>
      <c r="B14" s="1">
        <v>634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</row>
    <row r="15" spans="1:14" x14ac:dyDescent="0.4">
      <c r="A15" s="1">
        <v>13</v>
      </c>
      <c r="B15" s="1">
        <v>843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</row>
    <row r="16" spans="1:14" x14ac:dyDescent="0.4">
      <c r="A16" s="1">
        <v>14</v>
      </c>
      <c r="B16" s="1">
        <v>1121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</row>
    <row r="17" spans="1:14" x14ac:dyDescent="0.4">
      <c r="A17" s="1">
        <v>15</v>
      </c>
      <c r="B17" s="1">
        <v>1490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</row>
    <row r="18" spans="1:14" x14ac:dyDescent="0.4">
      <c r="A18" s="1">
        <v>16</v>
      </c>
      <c r="B18" s="1">
        <v>1981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</row>
    <row r="19" spans="1:14" x14ac:dyDescent="0.4">
      <c r="A19" s="1">
        <v>17</v>
      </c>
      <c r="B19" s="1">
        <v>2634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</row>
    <row r="20" spans="1:14" x14ac:dyDescent="0.4">
      <c r="A20" s="1">
        <v>18</v>
      </c>
      <c r="B20" s="1">
        <v>3503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</row>
    <row r="21" spans="1:14" x14ac:dyDescent="0.4">
      <c r="A21" s="1">
        <v>19</v>
      </c>
      <c r="B21" s="1">
        <v>4658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</row>
    <row r="22" spans="1:14" x14ac:dyDescent="0.4">
      <c r="A22" s="1">
        <v>20</v>
      </c>
      <c r="B22" s="1">
        <v>6195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</row>
    <row r="23" spans="1:14" x14ac:dyDescent="0.4">
      <c r="A23" s="1">
        <v>21</v>
      </c>
      <c r="B23" s="1">
        <v>8239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</row>
    <row r="24" spans="1:14" x14ac:dyDescent="0.4">
      <c r="A24" s="1">
        <v>22</v>
      </c>
      <c r="B24" s="1">
        <v>9886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</row>
    <row r="25" spans="1:14" x14ac:dyDescent="0.4">
      <c r="A25" s="1">
        <v>23</v>
      </c>
      <c r="B25" s="1">
        <v>11863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</row>
    <row r="26" spans="1:14" x14ac:dyDescent="0.4">
      <c r="A26" s="1">
        <v>24</v>
      </c>
      <c r="B26" s="1">
        <v>14235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</row>
    <row r="27" spans="1:14" x14ac:dyDescent="0.4">
      <c r="A27" s="1">
        <v>25</v>
      </c>
      <c r="B27" s="1">
        <v>17082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</row>
    <row r="28" spans="1:14" x14ac:dyDescent="0.4">
      <c r="A28" s="1">
        <v>26</v>
      </c>
      <c r="B28" s="1">
        <v>20498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</row>
    <row r="29" spans="1:14" x14ac:dyDescent="0.4">
      <c r="A29" s="1">
        <v>27</v>
      </c>
      <c r="B29" s="1">
        <v>24597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</row>
    <row r="30" spans="1:14" x14ac:dyDescent="0.4">
      <c r="A30" s="1">
        <v>28</v>
      </c>
      <c r="B30" s="1">
        <v>29516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</row>
    <row r="31" spans="1:14" x14ac:dyDescent="0.4">
      <c r="A31" s="1">
        <v>29</v>
      </c>
      <c r="B31" s="1">
        <v>35419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</row>
    <row r="32" spans="1:14" x14ac:dyDescent="0.4">
      <c r="A32" s="1">
        <v>30</v>
      </c>
      <c r="B32" s="1">
        <v>42502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</row>
    <row r="33" spans="1:14" x14ac:dyDescent="0.4">
      <c r="A33" s="1">
        <v>31</v>
      </c>
      <c r="B33" s="1">
        <v>51002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</row>
    <row r="34" spans="1:14" x14ac:dyDescent="0.4">
      <c r="A34" s="1">
        <v>32</v>
      </c>
      <c r="B34" s="1">
        <v>61202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</row>
    <row r="35" spans="1:14" x14ac:dyDescent="0.4">
      <c r="A35" s="1">
        <v>33</v>
      </c>
      <c r="B35" s="1">
        <v>73442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</row>
    <row r="36" spans="1:14" x14ac:dyDescent="0.4">
      <c r="A36" s="1">
        <v>34</v>
      </c>
      <c r="B36" s="1">
        <v>88130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</row>
    <row r="37" spans="1:14" x14ac:dyDescent="0.4">
      <c r="A37" s="1">
        <v>35</v>
      </c>
      <c r="B37" s="1">
        <v>96943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</row>
    <row r="38" spans="1:14" x14ac:dyDescent="0.4">
      <c r="A38" s="1">
        <v>36</v>
      </c>
      <c r="B38" s="1">
        <v>106637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</row>
    <row r="39" spans="1:14" x14ac:dyDescent="0.4">
      <c r="A39" s="1">
        <v>37</v>
      </c>
      <c r="B39" s="1">
        <v>117300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</row>
    <row r="40" spans="1:14" x14ac:dyDescent="0.4">
      <c r="A40" s="1">
        <v>38</v>
      </c>
      <c r="B40" s="1">
        <v>129030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</row>
    <row r="41" spans="1:14" x14ac:dyDescent="0.4">
      <c r="A41" s="1">
        <v>39</v>
      </c>
      <c r="B41" s="1">
        <v>141933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</row>
    <row r="42" spans="1:14" x14ac:dyDescent="0.4">
      <c r="A42" s="1">
        <v>40</v>
      </c>
      <c r="B42" s="1">
        <v>156126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</row>
    <row r="43" spans="1:14" x14ac:dyDescent="0.4">
      <c r="A43" s="1">
        <v>41</v>
      </c>
      <c r="B43" s="1">
        <v>171738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</row>
    <row r="44" spans="1:14" x14ac:dyDescent="0.4">
      <c r="A44" s="1">
        <v>42</v>
      </c>
      <c r="B44" s="1">
        <v>188911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</row>
    <row r="45" spans="1:14" x14ac:dyDescent="0.4">
      <c r="A45" s="1">
        <v>43</v>
      </c>
      <c r="B45" s="1">
        <v>207802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</row>
    <row r="46" spans="1:14" x14ac:dyDescent="0.4">
      <c r="A46" s="1">
        <v>44</v>
      </c>
      <c r="B46" s="1">
        <v>228582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</row>
    <row r="47" spans="1:14" x14ac:dyDescent="0.4">
      <c r="A47" s="1">
        <v>45</v>
      </c>
      <c r="B47" s="1">
        <v>251440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</row>
    <row r="48" spans="1:14" x14ac:dyDescent="0.4">
      <c r="A48" s="1">
        <v>46</v>
      </c>
      <c r="B48" s="1">
        <v>276584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</row>
    <row r="49" spans="1:14" x14ac:dyDescent="0.4">
      <c r="A49" s="1">
        <v>47</v>
      </c>
      <c r="B49" s="1">
        <v>304242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</row>
    <row r="50" spans="1:14" x14ac:dyDescent="0.4">
      <c r="A50" s="1">
        <v>48</v>
      </c>
      <c r="B50" s="1">
        <v>334666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</row>
    <row r="51" spans="1:14" x14ac:dyDescent="0.4">
      <c r="A51" s="1">
        <v>49</v>
      </c>
      <c r="B51" s="1">
        <v>368132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29D18-6676-487A-BF20-DD794556071E}">
  <sheetPr codeName="Sheet7"/>
  <dimension ref="A1:G51"/>
  <sheetViews>
    <sheetView workbookViewId="0">
      <selection activeCell="B3" sqref="B3:G51"/>
    </sheetView>
  </sheetViews>
  <sheetFormatPr defaultRowHeight="17.399999999999999" x14ac:dyDescent="0.4"/>
  <cols>
    <col min="1" max="1" width="29.296875" customWidth="1"/>
    <col min="2" max="2" width="7.3984375" bestFit="1" customWidth="1"/>
    <col min="3" max="3" width="8.3984375" customWidth="1"/>
  </cols>
  <sheetData>
    <row r="1" spans="1:7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98</v>
      </c>
    </row>
    <row r="2" spans="1:7" x14ac:dyDescent="0.4">
      <c r="A2" s="1">
        <v>1</v>
      </c>
      <c r="B2" s="1">
        <f>'밸런스 계산'!AC4</f>
        <v>6</v>
      </c>
      <c r="C2" s="1">
        <f>'밸런스 계산'!AD4</f>
        <v>4</v>
      </c>
      <c r="D2" s="1">
        <f>'밸런스 계산'!AE4</f>
        <v>2</v>
      </c>
      <c r="E2" s="1">
        <f>'밸런스 계산'!AF4</f>
        <v>180</v>
      </c>
      <c r="F2" s="1">
        <f>'밸런스 계산'!AG4</f>
        <v>4</v>
      </c>
      <c r="G2" s="1">
        <f>'밸런스 계산'!AH4</f>
        <v>20</v>
      </c>
    </row>
    <row r="3" spans="1:7" x14ac:dyDescent="0.4">
      <c r="A3" s="1">
        <v>2</v>
      </c>
      <c r="B3" s="1">
        <f>'밸런스 계산'!AC5</f>
        <v>7</v>
      </c>
      <c r="C3" s="1">
        <f>'밸런스 계산'!AD5</f>
        <v>5</v>
      </c>
      <c r="D3" s="1">
        <f>'밸런스 계산'!AE5</f>
        <v>2</v>
      </c>
      <c r="E3" s="1">
        <f>'밸런스 계산'!AF5</f>
        <v>180</v>
      </c>
      <c r="F3" s="1">
        <f>'밸런스 계산'!AG5</f>
        <v>4</v>
      </c>
      <c r="G3" s="1">
        <f>'밸런스 계산'!AH5</f>
        <v>22</v>
      </c>
    </row>
    <row r="4" spans="1:7" x14ac:dyDescent="0.4">
      <c r="A4" s="1">
        <v>3</v>
      </c>
      <c r="B4" s="1">
        <f>'밸런스 계산'!AC6</f>
        <v>8</v>
      </c>
      <c r="C4" s="1">
        <f>'밸런스 계산'!AD6</f>
        <v>6</v>
      </c>
      <c r="D4" s="1">
        <f>'밸런스 계산'!AE6</f>
        <v>2</v>
      </c>
      <c r="E4" s="1">
        <f>'밸런스 계산'!AF6</f>
        <v>180</v>
      </c>
      <c r="F4" s="1">
        <f>'밸런스 계산'!AG6</f>
        <v>4</v>
      </c>
      <c r="G4" s="1">
        <f>'밸런스 계산'!AH6</f>
        <v>24</v>
      </c>
    </row>
    <row r="5" spans="1:7" x14ac:dyDescent="0.4">
      <c r="A5" s="1">
        <v>4</v>
      </c>
      <c r="B5" s="1">
        <f>'밸런스 계산'!AC7</f>
        <v>11</v>
      </c>
      <c r="C5" s="1">
        <f>'밸런스 계산'!AD7</f>
        <v>9</v>
      </c>
      <c r="D5" s="1">
        <f>'밸런스 계산'!AE7</f>
        <v>2</v>
      </c>
      <c r="E5" s="1">
        <f>'밸런스 계산'!AF7</f>
        <v>180</v>
      </c>
      <c r="F5" s="1">
        <f>'밸런스 계산'!AG7</f>
        <v>5</v>
      </c>
      <c r="G5" s="1">
        <f>'밸런스 계산'!AH7</f>
        <v>30</v>
      </c>
    </row>
    <row r="6" spans="1:7" x14ac:dyDescent="0.4">
      <c r="A6" s="1">
        <v>5</v>
      </c>
      <c r="B6" s="1">
        <f>'밸런스 계산'!AC8</f>
        <v>14</v>
      </c>
      <c r="C6" s="1">
        <f>'밸런스 계산'!AD8</f>
        <v>10</v>
      </c>
      <c r="D6" s="1">
        <f>'밸런스 계산'!AE8</f>
        <v>2</v>
      </c>
      <c r="E6" s="1">
        <f>'밸런스 계산'!AF8</f>
        <v>180</v>
      </c>
      <c r="F6" s="1">
        <f>'밸런스 계산'!AG8</f>
        <v>6</v>
      </c>
      <c r="G6" s="1">
        <f>'밸런스 계산'!AH8</f>
        <v>32</v>
      </c>
    </row>
    <row r="7" spans="1:7" x14ac:dyDescent="0.4">
      <c r="A7" s="1">
        <v>6</v>
      </c>
      <c r="B7" s="1">
        <f>'밸런스 계산'!AC9</f>
        <v>36</v>
      </c>
      <c r="C7" s="1">
        <f>'밸런스 계산'!AD9</f>
        <v>17</v>
      </c>
      <c r="D7" s="1">
        <f>'밸런스 계산'!AE9</f>
        <v>2</v>
      </c>
      <c r="E7" s="1">
        <f>'밸런스 계산'!AF9</f>
        <v>180</v>
      </c>
      <c r="F7" s="1">
        <f>'밸런스 계산'!AG9</f>
        <v>11</v>
      </c>
      <c r="G7" s="1">
        <f>'밸런스 계산'!AH9</f>
        <v>50</v>
      </c>
    </row>
    <row r="8" spans="1:7" x14ac:dyDescent="0.4">
      <c r="A8" s="1">
        <v>7</v>
      </c>
      <c r="B8" s="1">
        <f>'밸런스 계산'!AC10</f>
        <v>44</v>
      </c>
      <c r="C8" s="1">
        <f>'밸런스 계산'!AD10</f>
        <v>18</v>
      </c>
      <c r="D8" s="1">
        <f>'밸런스 계산'!AE10</f>
        <v>2</v>
      </c>
      <c r="E8" s="1">
        <f>'밸런스 계산'!AF10</f>
        <v>184</v>
      </c>
      <c r="F8" s="1">
        <f>'밸런스 계산'!AG10</f>
        <v>13</v>
      </c>
      <c r="G8" s="1">
        <f>'밸런스 계산'!AH10</f>
        <v>53</v>
      </c>
    </row>
    <row r="9" spans="1:7" x14ac:dyDescent="0.4">
      <c r="A9" s="1">
        <v>8</v>
      </c>
      <c r="B9" s="1">
        <f>'밸런스 계산'!AC11</f>
        <v>53</v>
      </c>
      <c r="C9" s="1">
        <f>'밸런스 계산'!AD11</f>
        <v>19</v>
      </c>
      <c r="D9" s="1">
        <f>'밸런스 계산'!AE11</f>
        <v>2</v>
      </c>
      <c r="E9" s="1">
        <f>'밸런스 계산'!AF11</f>
        <v>188</v>
      </c>
      <c r="F9" s="1">
        <f>'밸런스 계산'!AG11</f>
        <v>15</v>
      </c>
      <c r="G9" s="1">
        <f>'밸런스 계산'!AH11</f>
        <v>56</v>
      </c>
    </row>
    <row r="10" spans="1:7" x14ac:dyDescent="0.4">
      <c r="A10" s="1">
        <v>9</v>
      </c>
      <c r="B10" s="1">
        <f>'밸런스 계산'!AC12</f>
        <v>64</v>
      </c>
      <c r="C10" s="1">
        <f>'밸런스 계산'!AD12</f>
        <v>20</v>
      </c>
      <c r="D10" s="1">
        <f>'밸런스 계산'!AE12</f>
        <v>2</v>
      </c>
      <c r="E10" s="1">
        <f>'밸런스 계산'!AF12</f>
        <v>192</v>
      </c>
      <c r="F10" s="1">
        <f>'밸런스 계산'!AG12</f>
        <v>17</v>
      </c>
      <c r="G10" s="1">
        <f>'밸런스 계산'!AH12</f>
        <v>59</v>
      </c>
    </row>
    <row r="11" spans="1:7" x14ac:dyDescent="0.4">
      <c r="A11" s="1">
        <v>10</v>
      </c>
      <c r="B11" s="1">
        <f>'밸런스 계산'!AC13</f>
        <v>77</v>
      </c>
      <c r="C11" s="1">
        <f>'밸런스 계산'!AD13</f>
        <v>21</v>
      </c>
      <c r="D11" s="1">
        <f>'밸런스 계산'!AE13</f>
        <v>2</v>
      </c>
      <c r="E11" s="1">
        <f>'밸런스 계산'!AF13</f>
        <v>196</v>
      </c>
      <c r="F11" s="1">
        <f>'밸런스 계산'!AG13</f>
        <v>19</v>
      </c>
      <c r="G11" s="1">
        <f>'밸런스 계산'!AH13</f>
        <v>62</v>
      </c>
    </row>
    <row r="12" spans="1:7" x14ac:dyDescent="0.4">
      <c r="A12" s="1">
        <v>11</v>
      </c>
      <c r="B12" s="1">
        <f>'밸런스 계산'!AC14</f>
        <v>93</v>
      </c>
      <c r="C12" s="1">
        <f>'밸런스 계산'!AD14</f>
        <v>22</v>
      </c>
      <c r="D12" s="1">
        <f>'밸런스 계산'!AE14</f>
        <v>2</v>
      </c>
      <c r="E12" s="1">
        <f>'밸런스 계산'!AF14</f>
        <v>200</v>
      </c>
      <c r="F12" s="1">
        <f>'밸런스 계산'!AG14</f>
        <v>21</v>
      </c>
      <c r="G12" s="1">
        <f>'밸런스 계산'!AH14</f>
        <v>66</v>
      </c>
    </row>
    <row r="13" spans="1:7" x14ac:dyDescent="0.4">
      <c r="A13" s="1">
        <v>12</v>
      </c>
      <c r="B13" s="1">
        <f>'밸런스 계산'!AC15</f>
        <v>112</v>
      </c>
      <c r="C13" s="1">
        <f>'밸런스 계산'!AD15</f>
        <v>23</v>
      </c>
      <c r="D13" s="1">
        <f>'밸런스 계산'!AE15</f>
        <v>2</v>
      </c>
      <c r="E13" s="1">
        <f>'밸런스 계산'!AF15</f>
        <v>204</v>
      </c>
      <c r="F13" s="1">
        <f>'밸런스 계산'!AG15</f>
        <v>24</v>
      </c>
      <c r="G13" s="1">
        <f>'밸런스 계산'!AH15</f>
        <v>70</v>
      </c>
    </row>
    <row r="14" spans="1:7" x14ac:dyDescent="0.4">
      <c r="A14" s="1">
        <v>13</v>
      </c>
      <c r="B14" s="1">
        <f>'밸런스 계산'!AC16</f>
        <v>135</v>
      </c>
      <c r="C14" s="1">
        <f>'밸런스 계산'!AD16</f>
        <v>24</v>
      </c>
      <c r="D14" s="1">
        <f>'밸런스 계산'!AE16</f>
        <v>2</v>
      </c>
      <c r="E14" s="1">
        <f>'밸런스 계산'!AF16</f>
        <v>209</v>
      </c>
      <c r="F14" s="1">
        <f>'밸런스 계산'!AG16</f>
        <v>27</v>
      </c>
      <c r="G14" s="1">
        <f>'밸런스 계산'!AH16</f>
        <v>74</v>
      </c>
    </row>
    <row r="15" spans="1:7" x14ac:dyDescent="0.4">
      <c r="A15" s="1">
        <v>14</v>
      </c>
      <c r="B15" s="1">
        <f>'밸런스 계산'!AC17</f>
        <v>162</v>
      </c>
      <c r="C15" s="1">
        <f>'밸런스 계산'!AD17</f>
        <v>25</v>
      </c>
      <c r="D15" s="1">
        <f>'밸런스 계산'!AE17</f>
        <v>2</v>
      </c>
      <c r="E15" s="1">
        <f>'밸런스 계산'!AF17</f>
        <v>214</v>
      </c>
      <c r="F15" s="1">
        <f>'밸런스 계산'!AG17</f>
        <v>30</v>
      </c>
      <c r="G15" s="1">
        <f>'밸런스 계산'!AH17</f>
        <v>78</v>
      </c>
    </row>
    <row r="16" spans="1:7" x14ac:dyDescent="0.4">
      <c r="A16" s="1">
        <v>15</v>
      </c>
      <c r="B16" s="1">
        <f>'밸런스 계산'!AC18</f>
        <v>195</v>
      </c>
      <c r="C16" s="1">
        <f>'밸런스 계산'!AD18</f>
        <v>26</v>
      </c>
      <c r="D16" s="1">
        <f>'밸런스 계산'!AE18</f>
        <v>2</v>
      </c>
      <c r="E16" s="1">
        <f>'밸런스 계산'!AF18</f>
        <v>219</v>
      </c>
      <c r="F16" s="1">
        <f>'밸런스 계산'!AG18</f>
        <v>33</v>
      </c>
      <c r="G16" s="1">
        <f>'밸런스 계산'!AH18</f>
        <v>82</v>
      </c>
    </row>
    <row r="17" spans="1:7" x14ac:dyDescent="0.4">
      <c r="A17" s="1">
        <v>16</v>
      </c>
      <c r="B17" s="1">
        <f>'밸런스 계산'!AC19</f>
        <v>234</v>
      </c>
      <c r="C17" s="1">
        <f>'밸런스 계산'!AD19</f>
        <v>27</v>
      </c>
      <c r="D17" s="1">
        <f>'밸런스 계산'!AE19</f>
        <v>2</v>
      </c>
      <c r="E17" s="1">
        <f>'밸런스 계산'!AF19</f>
        <v>224</v>
      </c>
      <c r="F17" s="1">
        <f>'밸런스 계산'!AG19</f>
        <v>37</v>
      </c>
      <c r="G17" s="1">
        <f>'밸런스 계산'!AH19</f>
        <v>87</v>
      </c>
    </row>
    <row r="18" spans="1:7" x14ac:dyDescent="0.4">
      <c r="A18" s="1">
        <v>17</v>
      </c>
      <c r="B18" s="1">
        <f>'밸런스 계산'!AC20</f>
        <v>281</v>
      </c>
      <c r="C18" s="1">
        <f>'밸런스 계산'!AD20</f>
        <v>28</v>
      </c>
      <c r="D18" s="1">
        <f>'밸런스 계산'!AE20</f>
        <v>2</v>
      </c>
      <c r="E18" s="1">
        <f>'밸런스 계산'!AF20</f>
        <v>229</v>
      </c>
      <c r="F18" s="1">
        <f>'밸런스 계산'!AG20</f>
        <v>41</v>
      </c>
      <c r="G18" s="1">
        <f>'밸런스 계산'!AH20</f>
        <v>92</v>
      </c>
    </row>
    <row r="19" spans="1:7" x14ac:dyDescent="0.4">
      <c r="A19" s="1">
        <v>18</v>
      </c>
      <c r="B19" s="1">
        <f>'밸런스 계산'!AC21</f>
        <v>338</v>
      </c>
      <c r="C19" s="1">
        <f>'밸런스 계산'!AD21</f>
        <v>29</v>
      </c>
      <c r="D19" s="1">
        <f>'밸런스 계산'!AE21</f>
        <v>2</v>
      </c>
      <c r="E19" s="1">
        <f>'밸런스 계산'!AF21</f>
        <v>234</v>
      </c>
      <c r="F19" s="1">
        <f>'밸런스 계산'!AG21</f>
        <v>46</v>
      </c>
      <c r="G19" s="1">
        <f>'밸런스 계산'!AH21</f>
        <v>97</v>
      </c>
    </row>
    <row r="20" spans="1:7" x14ac:dyDescent="0.4">
      <c r="A20" s="1">
        <v>19</v>
      </c>
      <c r="B20" s="1">
        <f>'밸런스 계산'!AC22</f>
        <v>406</v>
      </c>
      <c r="C20" s="1">
        <f>'밸런스 계산'!AD22</f>
        <v>30</v>
      </c>
      <c r="D20" s="1">
        <f>'밸런스 계산'!AE22</f>
        <v>2</v>
      </c>
      <c r="E20" s="1">
        <f>'밸런스 계산'!AF22</f>
        <v>239</v>
      </c>
      <c r="F20" s="1">
        <f>'밸런스 계산'!AG22</f>
        <v>51</v>
      </c>
      <c r="G20" s="1">
        <f>'밸런스 계산'!AH22</f>
        <v>102</v>
      </c>
    </row>
    <row r="21" spans="1:7" x14ac:dyDescent="0.4">
      <c r="A21" s="1">
        <v>20</v>
      </c>
      <c r="B21" s="1">
        <f>'밸런스 계산'!AC23</f>
        <v>488</v>
      </c>
      <c r="C21" s="1">
        <f>'밸런스 계산'!AD23</f>
        <v>31</v>
      </c>
      <c r="D21" s="1">
        <f>'밸런스 계산'!AE23</f>
        <v>2</v>
      </c>
      <c r="E21" s="1">
        <f>'밸런스 계산'!AF23</f>
        <v>244</v>
      </c>
      <c r="F21" s="1">
        <f>'밸런스 계산'!AG23</f>
        <v>57</v>
      </c>
      <c r="G21" s="1">
        <f>'밸런스 계산'!AH23</f>
        <v>108</v>
      </c>
    </row>
    <row r="22" spans="1:7" x14ac:dyDescent="0.4">
      <c r="A22" s="1">
        <v>21</v>
      </c>
      <c r="B22" s="1">
        <f>'밸런스 계산'!AC24</f>
        <v>586</v>
      </c>
      <c r="C22" s="1">
        <f>'밸런스 계산'!AD24</f>
        <v>32</v>
      </c>
      <c r="D22" s="1">
        <f>'밸런스 계산'!AE24</f>
        <v>2</v>
      </c>
      <c r="E22" s="1">
        <f>'밸런스 계산'!AF24</f>
        <v>249</v>
      </c>
      <c r="F22" s="1">
        <f>'밸런스 계산'!AG24</f>
        <v>63</v>
      </c>
      <c r="G22" s="1">
        <f>'밸런스 계산'!AH24</f>
        <v>114</v>
      </c>
    </row>
    <row r="23" spans="1:7" x14ac:dyDescent="0.4">
      <c r="A23" s="1">
        <v>22</v>
      </c>
      <c r="B23" s="1">
        <f>'밸런스 계산'!AC25</f>
        <v>704</v>
      </c>
      <c r="C23" s="1">
        <f>'밸런스 계산'!AD25</f>
        <v>33</v>
      </c>
      <c r="D23" s="1">
        <f>'밸런스 계산'!AE25</f>
        <v>2</v>
      </c>
      <c r="E23" s="1">
        <f>'밸런스 계산'!AF25</f>
        <v>254</v>
      </c>
      <c r="F23" s="1">
        <f>'밸런스 계산'!AG25</f>
        <v>70</v>
      </c>
      <c r="G23" s="1">
        <f>'밸런스 계산'!AH25</f>
        <v>120</v>
      </c>
    </row>
    <row r="24" spans="1:7" x14ac:dyDescent="0.4">
      <c r="A24" s="1">
        <v>23</v>
      </c>
      <c r="B24" s="1">
        <f>'밸런스 계산'!AC26</f>
        <v>845</v>
      </c>
      <c r="C24" s="1">
        <f>'밸런스 계산'!AD26</f>
        <v>34</v>
      </c>
      <c r="D24" s="1">
        <f>'밸런스 계산'!AE26</f>
        <v>2</v>
      </c>
      <c r="E24" s="1">
        <f>'밸런스 계산'!AF26</f>
        <v>260</v>
      </c>
      <c r="F24" s="1">
        <f>'밸런스 계산'!AG26</f>
        <v>77</v>
      </c>
      <c r="G24" s="1">
        <f>'밸런스 계산'!AH26</f>
        <v>126</v>
      </c>
    </row>
    <row r="25" spans="1:7" x14ac:dyDescent="0.4">
      <c r="A25" s="1">
        <v>24</v>
      </c>
      <c r="B25" s="1">
        <f>'밸런스 계산'!AC27</f>
        <v>1014</v>
      </c>
      <c r="C25" s="1">
        <f>'밸런스 계산'!AD27</f>
        <v>36</v>
      </c>
      <c r="D25" s="1">
        <f>'밸런스 계산'!AE27</f>
        <v>2</v>
      </c>
      <c r="E25" s="1">
        <f>'밸런스 계산'!AF27</f>
        <v>266</v>
      </c>
      <c r="F25" s="1">
        <f>'밸런스 계산'!AG27</f>
        <v>85</v>
      </c>
      <c r="G25" s="1">
        <f>'밸런스 계산'!AH27</f>
        <v>133</v>
      </c>
    </row>
    <row r="26" spans="1:7" x14ac:dyDescent="0.4">
      <c r="A26" s="1">
        <v>25</v>
      </c>
      <c r="B26" s="1">
        <f>'밸런스 계산'!AC28</f>
        <v>1217</v>
      </c>
      <c r="C26" s="1">
        <f>'밸런스 계산'!AD28</f>
        <v>38</v>
      </c>
      <c r="D26" s="1">
        <f>'밸런스 계산'!AE28</f>
        <v>2</v>
      </c>
      <c r="E26" s="1">
        <f>'밸런스 계산'!AF28</f>
        <v>272</v>
      </c>
      <c r="F26" s="1">
        <f>'밸런스 계산'!AG28</f>
        <v>94</v>
      </c>
      <c r="G26" s="1">
        <f>'밸런스 계산'!AH28</f>
        <v>140</v>
      </c>
    </row>
    <row r="27" spans="1:7" x14ac:dyDescent="0.4">
      <c r="A27" s="1">
        <v>26</v>
      </c>
      <c r="B27" s="1">
        <f>'밸런스 계산'!AC29</f>
        <v>1461</v>
      </c>
      <c r="C27" s="1">
        <f>'밸런스 계산'!AD29</f>
        <v>40</v>
      </c>
      <c r="D27" s="1">
        <f>'밸런스 계산'!AE29</f>
        <v>2</v>
      </c>
      <c r="E27" s="1">
        <f>'밸런스 계산'!AF29</f>
        <v>278</v>
      </c>
      <c r="F27" s="1">
        <f>'밸런스 계산'!AG29</f>
        <v>104</v>
      </c>
      <c r="G27" s="1">
        <f>'밸런스 계산'!AH29</f>
        <v>147</v>
      </c>
    </row>
    <row r="28" spans="1:7" x14ac:dyDescent="0.4">
      <c r="A28" s="1">
        <v>27</v>
      </c>
      <c r="B28" s="1">
        <f>'밸런스 계산'!AC30</f>
        <v>1754</v>
      </c>
      <c r="C28" s="1">
        <f>'밸런스 계산'!AD30</f>
        <v>42</v>
      </c>
      <c r="D28" s="1">
        <f>'밸런스 계산'!AE30</f>
        <v>2</v>
      </c>
      <c r="E28" s="1">
        <f>'밸런스 계산'!AF30</f>
        <v>284</v>
      </c>
      <c r="F28" s="1">
        <f>'밸런스 계산'!AG30</f>
        <v>115</v>
      </c>
      <c r="G28" s="1">
        <f>'밸런스 계산'!AH30</f>
        <v>155</v>
      </c>
    </row>
    <row r="29" spans="1:7" x14ac:dyDescent="0.4">
      <c r="A29" s="1">
        <v>28</v>
      </c>
      <c r="B29" s="1">
        <f>'밸런스 계산'!AC31</f>
        <v>2105</v>
      </c>
      <c r="C29" s="1">
        <f>'밸런스 계산'!AD31</f>
        <v>44</v>
      </c>
      <c r="D29" s="1">
        <f>'밸런스 계산'!AE31</f>
        <v>2</v>
      </c>
      <c r="E29" s="1">
        <f>'밸런스 계산'!AF31</f>
        <v>290</v>
      </c>
      <c r="F29" s="1">
        <f>'밸런스 계산'!AG31</f>
        <v>127</v>
      </c>
      <c r="G29" s="1">
        <f>'밸런스 계산'!AH31</f>
        <v>163</v>
      </c>
    </row>
    <row r="30" spans="1:7" x14ac:dyDescent="0.4">
      <c r="A30" s="1">
        <v>29</v>
      </c>
      <c r="B30" s="1">
        <f>'밸런스 계산'!AC32</f>
        <v>2526</v>
      </c>
      <c r="C30" s="1">
        <f>'밸런스 계산'!AD32</f>
        <v>46</v>
      </c>
      <c r="D30" s="1">
        <f>'밸런스 계산'!AE32</f>
        <v>2</v>
      </c>
      <c r="E30" s="1">
        <f>'밸런스 계산'!AF32</f>
        <v>296</v>
      </c>
      <c r="F30" s="1">
        <f>'밸런스 계산'!AG32</f>
        <v>140</v>
      </c>
      <c r="G30" s="1">
        <f>'밸런스 계산'!AH32</f>
        <v>172</v>
      </c>
    </row>
    <row r="31" spans="1:7" x14ac:dyDescent="0.4">
      <c r="A31" s="1">
        <v>30</v>
      </c>
      <c r="B31" s="1">
        <f>'밸런스 계산'!AC33</f>
        <v>3032</v>
      </c>
      <c r="C31" s="1">
        <f>'밸런스 계산'!AD33</f>
        <v>48</v>
      </c>
      <c r="D31" s="1">
        <f>'밸런스 계산'!AE33</f>
        <v>2</v>
      </c>
      <c r="E31" s="1">
        <f>'밸런스 계산'!AF33</f>
        <v>302</v>
      </c>
      <c r="F31" s="1">
        <f>'밸런스 계산'!AG33</f>
        <v>154</v>
      </c>
      <c r="G31" s="1">
        <f>'밸런스 계산'!AH33</f>
        <v>181</v>
      </c>
    </row>
    <row r="32" spans="1:7" x14ac:dyDescent="0.4">
      <c r="A32" s="1">
        <v>31</v>
      </c>
      <c r="B32" s="1">
        <f>'밸런스 계산'!AC34</f>
        <v>3639</v>
      </c>
      <c r="C32" s="1">
        <f>'밸런스 계산'!AD34</f>
        <v>50</v>
      </c>
      <c r="D32" s="1">
        <f>'밸런스 계산'!AE34</f>
        <v>2</v>
      </c>
      <c r="E32" s="1">
        <f>'밸런스 계산'!AF34</f>
        <v>309</v>
      </c>
      <c r="F32" s="1">
        <f>'밸런스 계산'!AG34</f>
        <v>170</v>
      </c>
      <c r="G32" s="1">
        <f>'밸런스 계산'!AH34</f>
        <v>191</v>
      </c>
    </row>
    <row r="33" spans="1:7" x14ac:dyDescent="0.4">
      <c r="A33" s="1">
        <v>32</v>
      </c>
      <c r="B33" s="1">
        <f>'밸런스 계산'!AC35</f>
        <v>4367</v>
      </c>
      <c r="C33" s="1">
        <f>'밸런스 계산'!AD35</f>
        <v>52</v>
      </c>
      <c r="D33" s="1">
        <f>'밸런스 계산'!AE35</f>
        <v>2</v>
      </c>
      <c r="E33" s="1">
        <f>'밸런스 계산'!AF35</f>
        <v>316</v>
      </c>
      <c r="F33" s="1">
        <f>'밸런스 계산'!AG35</f>
        <v>187</v>
      </c>
      <c r="G33" s="1">
        <f>'밸런스 계산'!AH35</f>
        <v>201</v>
      </c>
    </row>
    <row r="34" spans="1:7" x14ac:dyDescent="0.4">
      <c r="A34" s="1">
        <v>33</v>
      </c>
      <c r="B34" s="1">
        <f>'밸런스 계산'!AC36</f>
        <v>5241</v>
      </c>
      <c r="C34" s="1">
        <f>'밸런스 계산'!AD36</f>
        <v>54</v>
      </c>
      <c r="D34" s="1">
        <f>'밸런스 계산'!AE36</f>
        <v>2</v>
      </c>
      <c r="E34" s="1">
        <f>'밸런스 계산'!AF36</f>
        <v>323</v>
      </c>
      <c r="F34" s="1">
        <f>'밸런스 계산'!AG36</f>
        <v>206</v>
      </c>
      <c r="G34" s="1">
        <f>'밸런스 계산'!AH36</f>
        <v>212</v>
      </c>
    </row>
    <row r="35" spans="1:7" x14ac:dyDescent="0.4">
      <c r="A35" s="1">
        <v>34</v>
      </c>
      <c r="B35" s="1">
        <f>'밸런스 계산'!AC37</f>
        <v>6290</v>
      </c>
      <c r="C35" s="1">
        <f>'밸런스 계산'!AD37</f>
        <v>56</v>
      </c>
      <c r="D35" s="1">
        <f>'밸런스 계산'!AE37</f>
        <v>2</v>
      </c>
      <c r="E35" s="1">
        <f>'밸런스 계산'!AF37</f>
        <v>330</v>
      </c>
      <c r="F35" s="1">
        <f>'밸런스 계산'!AG37</f>
        <v>227</v>
      </c>
      <c r="G35" s="1">
        <f>'밸런스 계산'!AH37</f>
        <v>223</v>
      </c>
    </row>
    <row r="36" spans="1:7" x14ac:dyDescent="0.4">
      <c r="A36" s="1">
        <v>35</v>
      </c>
      <c r="B36" s="1">
        <f>'밸런스 계산'!AC38</f>
        <v>7548</v>
      </c>
      <c r="C36" s="1">
        <f>'밸런스 계산'!AD38</f>
        <v>58</v>
      </c>
      <c r="D36" s="1">
        <f>'밸런스 계산'!AE38</f>
        <v>2</v>
      </c>
      <c r="E36" s="1">
        <f>'밸런스 계산'!AF38</f>
        <v>337</v>
      </c>
      <c r="F36" s="1">
        <f>'밸런스 계산'!AG38</f>
        <v>250</v>
      </c>
      <c r="G36" s="1">
        <f>'밸런스 계산'!AH38</f>
        <v>235</v>
      </c>
    </row>
    <row r="37" spans="1:7" x14ac:dyDescent="0.4">
      <c r="A37" s="1">
        <v>36</v>
      </c>
      <c r="B37" s="1">
        <f>'밸런스 계산'!AC39</f>
        <v>9058</v>
      </c>
      <c r="C37" s="1">
        <f>'밸런스 계산'!AD39</f>
        <v>60</v>
      </c>
      <c r="D37" s="1">
        <f>'밸런스 계산'!AE39</f>
        <v>2</v>
      </c>
      <c r="E37" s="1">
        <f>'밸런스 계산'!AF39</f>
        <v>344</v>
      </c>
      <c r="F37" s="1">
        <f>'밸런스 계산'!AG39</f>
        <v>275</v>
      </c>
      <c r="G37" s="1">
        <f>'밸런스 계산'!AH39</f>
        <v>247</v>
      </c>
    </row>
    <row r="38" spans="1:7" x14ac:dyDescent="0.4">
      <c r="A38" s="1">
        <v>37</v>
      </c>
      <c r="B38" s="1">
        <f>'밸런스 계산'!AC40</f>
        <v>10870</v>
      </c>
      <c r="C38" s="1">
        <f>'밸런스 계산'!AD40</f>
        <v>62</v>
      </c>
      <c r="D38" s="1">
        <f>'밸런스 계산'!AE40</f>
        <v>2</v>
      </c>
      <c r="E38" s="1">
        <f>'밸런스 계산'!AF40</f>
        <v>351</v>
      </c>
      <c r="F38" s="1">
        <f>'밸런스 계산'!AG40</f>
        <v>303</v>
      </c>
      <c r="G38" s="1">
        <f>'밸런스 계산'!AH40</f>
        <v>260</v>
      </c>
    </row>
    <row r="39" spans="1:7" x14ac:dyDescent="0.4">
      <c r="A39" s="1">
        <v>38</v>
      </c>
      <c r="B39" s="1">
        <f>'밸런스 계산'!AC41</f>
        <v>13044</v>
      </c>
      <c r="C39" s="1">
        <f>'밸런스 계산'!AD41</f>
        <v>64</v>
      </c>
      <c r="D39" s="1">
        <f>'밸런스 계산'!AE41</f>
        <v>2</v>
      </c>
      <c r="E39" s="1">
        <f>'밸런스 계산'!AF41</f>
        <v>359</v>
      </c>
      <c r="F39" s="1">
        <f>'밸런스 계산'!AG41</f>
        <v>334</v>
      </c>
      <c r="G39" s="1">
        <f>'밸런스 계산'!AH41</f>
        <v>273</v>
      </c>
    </row>
    <row r="40" spans="1:7" x14ac:dyDescent="0.4">
      <c r="A40" s="1">
        <v>39</v>
      </c>
      <c r="B40" s="1">
        <f>'밸런스 계산'!AC42</f>
        <v>15653</v>
      </c>
      <c r="C40" s="1">
        <f>'밸런스 계산'!AD42</f>
        <v>66</v>
      </c>
      <c r="D40" s="1">
        <f>'밸런스 계산'!AE42</f>
        <v>2</v>
      </c>
      <c r="E40" s="1">
        <f>'밸런스 계산'!AF42</f>
        <v>367</v>
      </c>
      <c r="F40" s="1">
        <f>'밸런스 계산'!AG42</f>
        <v>368</v>
      </c>
      <c r="G40" s="1">
        <f>'밸런스 계산'!AH42</f>
        <v>287</v>
      </c>
    </row>
    <row r="41" spans="1:7" x14ac:dyDescent="0.4">
      <c r="A41" s="1">
        <v>40</v>
      </c>
      <c r="B41" s="1">
        <f>'밸런스 계산'!AC43</f>
        <v>18784</v>
      </c>
      <c r="C41" s="1">
        <f>'밸런스 계산'!AD43</f>
        <v>68</v>
      </c>
      <c r="D41" s="1">
        <f>'밸런스 계산'!AE43</f>
        <v>2</v>
      </c>
      <c r="E41" s="1">
        <f>'밸런스 계산'!AF43</f>
        <v>375</v>
      </c>
      <c r="F41" s="1">
        <f>'밸런스 계산'!AG43</f>
        <v>405</v>
      </c>
      <c r="G41" s="1">
        <f>'밸런스 계산'!AH43</f>
        <v>302</v>
      </c>
    </row>
    <row r="42" spans="1:7" x14ac:dyDescent="0.4">
      <c r="A42" s="1">
        <v>41</v>
      </c>
      <c r="B42" s="1">
        <f>'밸런스 계산'!AC44</f>
        <v>22541</v>
      </c>
      <c r="C42" s="1">
        <f>'밸런스 계산'!AD44</f>
        <v>71</v>
      </c>
      <c r="D42" s="1">
        <f>'밸런스 계산'!AE44</f>
        <v>2</v>
      </c>
      <c r="E42" s="1">
        <f>'밸런스 계산'!AF44</f>
        <v>383</v>
      </c>
      <c r="F42" s="1">
        <f>'밸런스 계산'!AG44</f>
        <v>446</v>
      </c>
      <c r="G42" s="1">
        <f>'밸런스 계산'!AH44</f>
        <v>318</v>
      </c>
    </row>
    <row r="43" spans="1:7" x14ac:dyDescent="0.4">
      <c r="A43" s="1">
        <v>42</v>
      </c>
      <c r="B43" s="1">
        <f>'밸런스 계산'!AC45</f>
        <v>27050</v>
      </c>
      <c r="C43" s="1">
        <f>'밸런스 계산'!AD45</f>
        <v>74</v>
      </c>
      <c r="D43" s="1">
        <f>'밸런스 계산'!AE45</f>
        <v>2</v>
      </c>
      <c r="E43" s="1">
        <f>'밸런스 계산'!AF45</f>
        <v>391</v>
      </c>
      <c r="F43" s="1">
        <f>'밸런스 계산'!AG45</f>
        <v>491</v>
      </c>
      <c r="G43" s="1">
        <f>'밸런스 계산'!AH45</f>
        <v>334</v>
      </c>
    </row>
    <row r="44" spans="1:7" x14ac:dyDescent="0.4">
      <c r="A44" s="1">
        <v>43</v>
      </c>
      <c r="B44" s="1">
        <f>'밸런스 계산'!AC46</f>
        <v>32460</v>
      </c>
      <c r="C44" s="1">
        <f>'밸런스 계산'!AD46</f>
        <v>77</v>
      </c>
      <c r="D44" s="1">
        <f>'밸런스 계산'!AE46</f>
        <v>2</v>
      </c>
      <c r="E44" s="1">
        <f>'밸런스 계산'!AF46</f>
        <v>399</v>
      </c>
      <c r="F44" s="1">
        <f>'밸런스 계산'!AG46</f>
        <v>541</v>
      </c>
      <c r="G44" s="1">
        <f>'밸런스 계산'!AH46</f>
        <v>351</v>
      </c>
    </row>
    <row r="45" spans="1:7" x14ac:dyDescent="0.4">
      <c r="A45" s="1">
        <v>44</v>
      </c>
      <c r="B45" s="1">
        <f>'밸런스 계산'!AC47</f>
        <v>38952</v>
      </c>
      <c r="C45" s="1">
        <f>'밸런스 계산'!AD47</f>
        <v>80</v>
      </c>
      <c r="D45" s="1">
        <f>'밸런스 계산'!AE47</f>
        <v>2</v>
      </c>
      <c r="E45" s="1">
        <f>'밸런스 계산'!AF47</f>
        <v>407</v>
      </c>
      <c r="F45" s="1">
        <f>'밸런스 계산'!AG47</f>
        <v>596</v>
      </c>
      <c r="G45" s="1">
        <f>'밸런스 계산'!AH47</f>
        <v>369</v>
      </c>
    </row>
    <row r="46" spans="1:7" x14ac:dyDescent="0.4">
      <c r="A46" s="1">
        <v>45</v>
      </c>
      <c r="B46" s="1">
        <f>'밸런스 계산'!AC48</f>
        <v>46743</v>
      </c>
      <c r="C46" s="1">
        <f>'밸런스 계산'!AD48</f>
        <v>83</v>
      </c>
      <c r="D46" s="1">
        <f>'밸런스 계산'!AE48</f>
        <v>2</v>
      </c>
      <c r="E46" s="1">
        <f>'밸런스 계산'!AF48</f>
        <v>416</v>
      </c>
      <c r="F46" s="1">
        <f>'밸런스 계산'!AG48</f>
        <v>656</v>
      </c>
      <c r="G46" s="1">
        <f>'밸런스 계산'!AH48</f>
        <v>388</v>
      </c>
    </row>
    <row r="47" spans="1:7" x14ac:dyDescent="0.4">
      <c r="A47" s="1">
        <v>46</v>
      </c>
      <c r="B47" s="1">
        <f>'밸런스 계산'!AC49</f>
        <v>56092</v>
      </c>
      <c r="C47" s="1">
        <f>'밸런스 계산'!AD49</f>
        <v>86</v>
      </c>
      <c r="D47" s="1">
        <f>'밸런스 계산'!AE49</f>
        <v>2</v>
      </c>
      <c r="E47" s="1">
        <f>'밸런스 계산'!AF49</f>
        <v>425</v>
      </c>
      <c r="F47" s="1">
        <f>'밸런스 계산'!AG49</f>
        <v>722</v>
      </c>
      <c r="G47" s="1">
        <f>'밸런스 계산'!AH49</f>
        <v>408</v>
      </c>
    </row>
    <row r="48" spans="1:7" x14ac:dyDescent="0.4">
      <c r="A48" s="1">
        <v>47</v>
      </c>
      <c r="B48" s="1">
        <f>'밸런스 계산'!AC50</f>
        <v>67311</v>
      </c>
      <c r="C48" s="1">
        <f>'밸런스 계산'!AD50</f>
        <v>89</v>
      </c>
      <c r="D48" s="1">
        <f>'밸런스 계산'!AE50</f>
        <v>2</v>
      </c>
      <c r="E48" s="1">
        <f>'밸런스 계산'!AF50</f>
        <v>434</v>
      </c>
      <c r="F48" s="1">
        <f>'밸런스 계산'!AG50</f>
        <v>795</v>
      </c>
      <c r="G48" s="1">
        <f>'밸런스 계산'!AH50</f>
        <v>429</v>
      </c>
    </row>
    <row r="49" spans="1:7" x14ac:dyDescent="0.4">
      <c r="A49" s="1">
        <v>48</v>
      </c>
      <c r="B49" s="1">
        <f>'밸런스 계산'!AC51</f>
        <v>80774</v>
      </c>
      <c r="C49" s="1">
        <f>'밸런스 계산'!AD51</f>
        <v>92</v>
      </c>
      <c r="D49" s="1">
        <f>'밸런스 계산'!AE51</f>
        <v>2</v>
      </c>
      <c r="E49" s="1">
        <f>'밸런스 계산'!AF51</f>
        <v>443</v>
      </c>
      <c r="F49" s="1">
        <f>'밸런스 계산'!AG51</f>
        <v>875</v>
      </c>
      <c r="G49" s="1">
        <f>'밸런스 계산'!AH51</f>
        <v>451</v>
      </c>
    </row>
    <row r="50" spans="1:7" x14ac:dyDescent="0.4">
      <c r="A50" s="1">
        <v>49</v>
      </c>
      <c r="B50" s="1">
        <f>'밸런스 계산'!AC52</f>
        <v>96929</v>
      </c>
      <c r="C50" s="1">
        <f>'밸런스 계산'!AD52</f>
        <v>95</v>
      </c>
      <c r="D50" s="1">
        <f>'밸런스 계산'!AE52</f>
        <v>2</v>
      </c>
      <c r="E50" s="1">
        <f>'밸런스 계산'!AF52</f>
        <v>452</v>
      </c>
      <c r="F50" s="1">
        <f>'밸런스 계산'!AG52</f>
        <v>963</v>
      </c>
      <c r="G50" s="1">
        <f>'밸런스 계산'!AH52</f>
        <v>474</v>
      </c>
    </row>
    <row r="51" spans="1:7" x14ac:dyDescent="0.4">
      <c r="A51" s="1">
        <v>50</v>
      </c>
      <c r="B51" s="1">
        <f>'밸런스 계산'!AC53</f>
        <v>116315</v>
      </c>
      <c r="C51" s="1">
        <f>'밸런스 계산'!AD53</f>
        <v>98</v>
      </c>
      <c r="D51" s="1">
        <f>'밸런스 계산'!AE53</f>
        <v>2</v>
      </c>
      <c r="E51" s="1">
        <f>'밸런스 계산'!AF53</f>
        <v>462</v>
      </c>
      <c r="F51" s="1">
        <f>'밸런스 계산'!AG53</f>
        <v>1060</v>
      </c>
      <c r="G51" s="1">
        <f>'밸런스 계산'!AH53</f>
        <v>498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E93A-EB92-4E99-A159-F644BB9F8E2E}">
  <sheetPr codeName="Sheet4"/>
  <dimension ref="A1:G51"/>
  <sheetViews>
    <sheetView workbookViewId="0">
      <selection activeCell="B2" sqref="B2:G51"/>
    </sheetView>
  </sheetViews>
  <sheetFormatPr defaultRowHeight="17.399999999999999" x14ac:dyDescent="0.4"/>
  <cols>
    <col min="1" max="1" width="29.296875" customWidth="1"/>
    <col min="2" max="2" width="6.3984375" bestFit="1" customWidth="1"/>
    <col min="3" max="3" width="8.19921875" bestFit="1" customWidth="1"/>
  </cols>
  <sheetData>
    <row r="1" spans="1:7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98</v>
      </c>
    </row>
    <row r="2" spans="1:7" x14ac:dyDescent="0.4">
      <c r="A2" s="1">
        <v>1</v>
      </c>
      <c r="B2" s="1">
        <f>'밸런스 계산'!U4</f>
        <v>6</v>
      </c>
      <c r="C2" s="1">
        <f>'밸런스 계산'!V4</f>
        <v>4</v>
      </c>
      <c r="D2" s="1">
        <f>'밸런스 계산'!W4</f>
        <v>3</v>
      </c>
      <c r="E2" s="1">
        <f>'밸런스 계산'!X4</f>
        <v>120</v>
      </c>
      <c r="F2" s="1">
        <f>'밸런스 계산'!Y4</f>
        <v>4</v>
      </c>
      <c r="G2" s="1">
        <f>'밸런스 계산'!Z4</f>
        <v>20</v>
      </c>
    </row>
    <row r="3" spans="1:7" x14ac:dyDescent="0.4">
      <c r="A3" s="1">
        <v>2</v>
      </c>
      <c r="B3" s="1">
        <f>'밸런스 계산'!U5</f>
        <v>7</v>
      </c>
      <c r="C3" s="1">
        <f>'밸런스 계산'!V5</f>
        <v>5</v>
      </c>
      <c r="D3" s="1">
        <f>'밸런스 계산'!W5</f>
        <v>3</v>
      </c>
      <c r="E3" s="1">
        <f>'밸런스 계산'!X5</f>
        <v>120</v>
      </c>
      <c r="F3" s="1">
        <f>'밸런스 계산'!Y5</f>
        <v>4</v>
      </c>
      <c r="G3" s="1">
        <f>'밸런스 계산'!Z5</f>
        <v>22</v>
      </c>
    </row>
    <row r="4" spans="1:7" x14ac:dyDescent="0.4">
      <c r="A4" s="1">
        <v>3</v>
      </c>
      <c r="B4" s="1">
        <f>'밸런스 계산'!U6</f>
        <v>8</v>
      </c>
      <c r="C4" s="1">
        <f>'밸런스 계산'!V6</f>
        <v>6</v>
      </c>
      <c r="D4" s="1">
        <f>'밸런스 계산'!W6</f>
        <v>3</v>
      </c>
      <c r="E4" s="1">
        <f>'밸런스 계산'!X6</f>
        <v>120</v>
      </c>
      <c r="F4" s="1">
        <f>'밸런스 계산'!Y6</f>
        <v>4</v>
      </c>
      <c r="G4" s="1">
        <f>'밸런스 계산'!Z6</f>
        <v>24</v>
      </c>
    </row>
    <row r="5" spans="1:7" x14ac:dyDescent="0.4">
      <c r="A5" s="1">
        <v>4</v>
      </c>
      <c r="B5" s="1">
        <f>'밸런스 계산'!U7</f>
        <v>9</v>
      </c>
      <c r="C5" s="1">
        <f>'밸런스 계산'!V7</f>
        <v>7</v>
      </c>
      <c r="D5" s="1">
        <f>'밸런스 계산'!W7</f>
        <v>3</v>
      </c>
      <c r="E5" s="1">
        <f>'밸런스 계산'!X7</f>
        <v>120</v>
      </c>
      <c r="F5" s="1">
        <f>'밸런스 계산'!Y7</f>
        <v>4</v>
      </c>
      <c r="G5" s="1">
        <f>'밸런스 계산'!Z7</f>
        <v>26</v>
      </c>
    </row>
    <row r="6" spans="1:7" x14ac:dyDescent="0.4">
      <c r="A6" s="1">
        <v>5</v>
      </c>
      <c r="B6" s="1">
        <f>'밸런스 계산'!U8</f>
        <v>10</v>
      </c>
      <c r="C6" s="1">
        <f>'밸런스 계산'!V8</f>
        <v>8</v>
      </c>
      <c r="D6" s="1">
        <f>'밸런스 계산'!W8</f>
        <v>3</v>
      </c>
      <c r="E6" s="1">
        <f>'밸런스 계산'!X8</f>
        <v>120</v>
      </c>
      <c r="F6" s="1">
        <f>'밸런스 계산'!Y8</f>
        <v>4</v>
      </c>
      <c r="G6" s="1">
        <f>'밸런스 계산'!Z8</f>
        <v>28</v>
      </c>
    </row>
    <row r="7" spans="1:7" x14ac:dyDescent="0.4">
      <c r="A7" s="1">
        <v>6</v>
      </c>
      <c r="B7" s="1">
        <f>'밸런스 계산'!U9</f>
        <v>15</v>
      </c>
      <c r="C7" s="1">
        <f>'밸런스 계산'!V9</f>
        <v>11</v>
      </c>
      <c r="D7" s="1">
        <f>'밸런스 계산'!W9</f>
        <v>3</v>
      </c>
      <c r="E7" s="1">
        <f>'밸런스 계산'!X9</f>
        <v>120</v>
      </c>
      <c r="F7" s="1">
        <f>'밸런스 계산'!Y9</f>
        <v>5</v>
      </c>
      <c r="G7" s="1">
        <f>'밸런스 계산'!Z9</f>
        <v>30</v>
      </c>
    </row>
    <row r="8" spans="1:7" x14ac:dyDescent="0.4">
      <c r="A8" s="1">
        <v>7</v>
      </c>
      <c r="B8" s="1">
        <f>'밸런스 계산'!U10</f>
        <v>17</v>
      </c>
      <c r="C8" s="1">
        <f>'밸런스 계산'!V10</f>
        <v>12</v>
      </c>
      <c r="D8" s="1">
        <f>'밸런스 계산'!W10</f>
        <v>3</v>
      </c>
      <c r="E8" s="1">
        <f>'밸런스 계산'!X10</f>
        <v>123</v>
      </c>
      <c r="F8" s="1">
        <f>'밸런스 계산'!Y10</f>
        <v>6</v>
      </c>
      <c r="G8" s="1">
        <f>'밸런스 계산'!Z10</f>
        <v>32</v>
      </c>
    </row>
    <row r="9" spans="1:7" x14ac:dyDescent="0.4">
      <c r="A9" s="1">
        <v>8</v>
      </c>
      <c r="B9" s="1">
        <f>'밸런스 계산'!U11</f>
        <v>19</v>
      </c>
      <c r="C9" s="1">
        <f>'밸런스 계산'!V11</f>
        <v>13</v>
      </c>
      <c r="D9" s="1">
        <f>'밸런스 계산'!W11</f>
        <v>3</v>
      </c>
      <c r="E9" s="1">
        <f>'밸런스 계산'!X11</f>
        <v>126</v>
      </c>
      <c r="F9" s="1">
        <f>'밸런스 계산'!Y11</f>
        <v>7</v>
      </c>
      <c r="G9" s="1">
        <f>'밸런스 계산'!Z11</f>
        <v>34</v>
      </c>
    </row>
    <row r="10" spans="1:7" x14ac:dyDescent="0.4">
      <c r="A10" s="1">
        <v>9</v>
      </c>
      <c r="B10" s="1">
        <f>'밸런스 계산'!U12</f>
        <v>23</v>
      </c>
      <c r="C10" s="1">
        <f>'밸런스 계산'!V12</f>
        <v>14</v>
      </c>
      <c r="D10" s="1">
        <f>'밸런스 계산'!W12</f>
        <v>3</v>
      </c>
      <c r="E10" s="1">
        <f>'밸런스 계산'!X12</f>
        <v>129</v>
      </c>
      <c r="F10" s="1">
        <f>'밸런스 계산'!Y12</f>
        <v>8</v>
      </c>
      <c r="G10" s="1">
        <f>'밸런스 계산'!Z12</f>
        <v>36</v>
      </c>
    </row>
    <row r="11" spans="1:7" x14ac:dyDescent="0.4">
      <c r="A11" s="1">
        <v>10</v>
      </c>
      <c r="B11" s="1">
        <f>'밸런스 계산'!U13</f>
        <v>28</v>
      </c>
      <c r="C11" s="1">
        <f>'밸런스 계산'!V13</f>
        <v>15</v>
      </c>
      <c r="D11" s="1">
        <f>'밸런스 계산'!W13</f>
        <v>3</v>
      </c>
      <c r="E11" s="1">
        <f>'밸런스 계산'!X13</f>
        <v>132</v>
      </c>
      <c r="F11" s="1">
        <f>'밸런스 계산'!Y13</f>
        <v>9</v>
      </c>
      <c r="G11" s="1">
        <f>'밸런스 계산'!Z13</f>
        <v>38</v>
      </c>
    </row>
    <row r="12" spans="1:7" x14ac:dyDescent="0.4">
      <c r="A12" s="1">
        <v>11</v>
      </c>
      <c r="B12" s="1">
        <f>'밸런스 계산'!U14</f>
        <v>34</v>
      </c>
      <c r="C12" s="1">
        <f>'밸런스 계산'!V14</f>
        <v>16</v>
      </c>
      <c r="D12" s="1">
        <f>'밸런스 계산'!W14</f>
        <v>3</v>
      </c>
      <c r="E12" s="1">
        <f>'밸런스 계산'!X14</f>
        <v>135</v>
      </c>
      <c r="F12" s="1">
        <f>'밸런스 계산'!Y14</f>
        <v>10</v>
      </c>
      <c r="G12" s="1">
        <f>'밸런스 계산'!Z14</f>
        <v>40</v>
      </c>
    </row>
    <row r="13" spans="1:7" x14ac:dyDescent="0.4">
      <c r="A13" s="1">
        <v>12</v>
      </c>
      <c r="B13" s="1">
        <f>'밸런스 계산'!U15</f>
        <v>41</v>
      </c>
      <c r="C13" s="1">
        <f>'밸런스 계산'!V15</f>
        <v>17</v>
      </c>
      <c r="D13" s="1">
        <f>'밸런스 계산'!W15</f>
        <v>3</v>
      </c>
      <c r="E13" s="1">
        <f>'밸런스 계산'!X15</f>
        <v>138</v>
      </c>
      <c r="F13" s="1">
        <f>'밸런스 계산'!Y15</f>
        <v>11</v>
      </c>
      <c r="G13" s="1">
        <f>'밸런스 계산'!Z15</f>
        <v>42</v>
      </c>
    </row>
    <row r="14" spans="1:7" x14ac:dyDescent="0.4">
      <c r="A14" s="1">
        <v>13</v>
      </c>
      <c r="B14" s="1">
        <f>'밸런스 계산'!U16</f>
        <v>50</v>
      </c>
      <c r="C14" s="1">
        <f>'밸런스 계산'!V16</f>
        <v>18</v>
      </c>
      <c r="D14" s="1">
        <f>'밸런스 계산'!W16</f>
        <v>3</v>
      </c>
      <c r="E14" s="1">
        <f>'밸런스 계산'!X16</f>
        <v>141</v>
      </c>
      <c r="F14" s="1">
        <f>'밸런스 계산'!Y16</f>
        <v>13</v>
      </c>
      <c r="G14" s="1">
        <f>'밸런스 계산'!Z16</f>
        <v>45</v>
      </c>
    </row>
    <row r="15" spans="1:7" x14ac:dyDescent="0.4">
      <c r="A15" s="1">
        <v>14</v>
      </c>
      <c r="B15" s="1">
        <f>'밸런스 계산'!U17</f>
        <v>60</v>
      </c>
      <c r="C15" s="1">
        <f>'밸런스 계산'!V17</f>
        <v>19</v>
      </c>
      <c r="D15" s="1">
        <f>'밸런스 계산'!W17</f>
        <v>3</v>
      </c>
      <c r="E15" s="1">
        <f>'밸런스 계산'!X17</f>
        <v>144</v>
      </c>
      <c r="F15" s="1">
        <f>'밸런스 계산'!Y17</f>
        <v>15</v>
      </c>
      <c r="G15" s="1">
        <f>'밸런스 계산'!Z17</f>
        <v>48</v>
      </c>
    </row>
    <row r="16" spans="1:7" x14ac:dyDescent="0.4">
      <c r="A16" s="1">
        <v>15</v>
      </c>
      <c r="B16" s="1">
        <f>'밸런스 계산'!U18</f>
        <v>72</v>
      </c>
      <c r="C16" s="1">
        <f>'밸런스 계산'!V18</f>
        <v>20</v>
      </c>
      <c r="D16" s="1">
        <f>'밸런스 계산'!W18</f>
        <v>3</v>
      </c>
      <c r="E16" s="1">
        <f>'밸런스 계산'!X18</f>
        <v>147</v>
      </c>
      <c r="F16" s="1">
        <f>'밸런스 계산'!Y18</f>
        <v>17</v>
      </c>
      <c r="G16" s="1">
        <f>'밸런스 계산'!Z18</f>
        <v>51</v>
      </c>
    </row>
    <row r="17" spans="1:7" x14ac:dyDescent="0.4">
      <c r="A17" s="1">
        <v>16</v>
      </c>
      <c r="B17" s="1">
        <f>'밸런스 계산'!U19</f>
        <v>87</v>
      </c>
      <c r="C17" s="1">
        <f>'밸런스 계산'!V19</f>
        <v>21</v>
      </c>
      <c r="D17" s="1">
        <f>'밸런스 계산'!W19</f>
        <v>3</v>
      </c>
      <c r="E17" s="1">
        <f>'밸런스 계산'!X19</f>
        <v>150</v>
      </c>
      <c r="F17" s="1">
        <f>'밸런스 계산'!Y19</f>
        <v>19</v>
      </c>
      <c r="G17" s="1">
        <f>'밸런스 계산'!Z19</f>
        <v>54</v>
      </c>
    </row>
    <row r="18" spans="1:7" x14ac:dyDescent="0.4">
      <c r="A18" s="1">
        <v>17</v>
      </c>
      <c r="B18" s="1">
        <f>'밸런스 계산'!U20</f>
        <v>105</v>
      </c>
      <c r="C18" s="1">
        <f>'밸런스 계산'!V20</f>
        <v>22</v>
      </c>
      <c r="D18" s="1">
        <f>'밸런스 계산'!W20</f>
        <v>3</v>
      </c>
      <c r="E18" s="1">
        <f>'밸런스 계산'!X20</f>
        <v>153</v>
      </c>
      <c r="F18" s="1">
        <f>'밸런스 계산'!Y20</f>
        <v>21</v>
      </c>
      <c r="G18" s="1">
        <f>'밸런스 계산'!Z20</f>
        <v>57</v>
      </c>
    </row>
    <row r="19" spans="1:7" x14ac:dyDescent="0.4">
      <c r="A19" s="1">
        <v>18</v>
      </c>
      <c r="B19" s="1">
        <f>'밸런스 계산'!U21</f>
        <v>126</v>
      </c>
      <c r="C19" s="1">
        <f>'밸런스 계산'!V21</f>
        <v>23</v>
      </c>
      <c r="D19" s="1">
        <f>'밸런스 계산'!W21</f>
        <v>3</v>
      </c>
      <c r="E19" s="1">
        <f>'밸런스 계산'!X21</f>
        <v>157</v>
      </c>
      <c r="F19" s="1">
        <f>'밸런스 계산'!Y21</f>
        <v>24</v>
      </c>
      <c r="G19" s="1">
        <f>'밸런스 계산'!Z21</f>
        <v>60</v>
      </c>
    </row>
    <row r="20" spans="1:7" x14ac:dyDescent="0.4">
      <c r="A20" s="1">
        <v>19</v>
      </c>
      <c r="B20" s="1">
        <f>'밸런스 계산'!U22</f>
        <v>152</v>
      </c>
      <c r="C20" s="1">
        <f>'밸런스 계산'!V22</f>
        <v>24</v>
      </c>
      <c r="D20" s="1">
        <f>'밸런스 계산'!W22</f>
        <v>3</v>
      </c>
      <c r="E20" s="1">
        <f>'밸런스 계산'!X22</f>
        <v>161</v>
      </c>
      <c r="F20" s="1">
        <f>'밸런스 계산'!Y22</f>
        <v>27</v>
      </c>
      <c r="G20" s="1">
        <f>'밸런스 계산'!Z22</f>
        <v>63</v>
      </c>
    </row>
    <row r="21" spans="1:7" x14ac:dyDescent="0.4">
      <c r="A21" s="1">
        <v>20</v>
      </c>
      <c r="B21" s="1">
        <f>'밸런스 계산'!U23</f>
        <v>183</v>
      </c>
      <c r="C21" s="1">
        <f>'밸런스 계산'!V23</f>
        <v>25</v>
      </c>
      <c r="D21" s="1">
        <f>'밸런스 계산'!W23</f>
        <v>3</v>
      </c>
      <c r="E21" s="1">
        <f>'밸런스 계산'!X23</f>
        <v>165</v>
      </c>
      <c r="F21" s="1">
        <f>'밸런스 계산'!Y23</f>
        <v>30</v>
      </c>
      <c r="G21" s="1">
        <f>'밸런스 계산'!Z23</f>
        <v>67</v>
      </c>
    </row>
    <row r="22" spans="1:7" x14ac:dyDescent="0.4">
      <c r="A22" s="1">
        <v>21</v>
      </c>
      <c r="B22" s="1">
        <f>'밸런스 계산'!U24</f>
        <v>220</v>
      </c>
      <c r="C22" s="1">
        <f>'밸런스 계산'!V24</f>
        <v>26</v>
      </c>
      <c r="D22" s="1">
        <f>'밸런스 계산'!W24</f>
        <v>3</v>
      </c>
      <c r="E22" s="1">
        <f>'밸런스 계산'!X24</f>
        <v>169</v>
      </c>
      <c r="F22" s="1">
        <f>'밸런스 계산'!Y24</f>
        <v>33</v>
      </c>
      <c r="G22" s="1">
        <f>'밸런스 계산'!Z24</f>
        <v>71</v>
      </c>
    </row>
    <row r="23" spans="1:7" x14ac:dyDescent="0.4">
      <c r="A23" s="1">
        <v>22</v>
      </c>
      <c r="B23" s="1">
        <f>'밸런스 계산'!U25</f>
        <v>264</v>
      </c>
      <c r="C23" s="1">
        <f>'밸런스 계산'!V25</f>
        <v>27</v>
      </c>
      <c r="D23" s="1">
        <f>'밸런스 계산'!W25</f>
        <v>3</v>
      </c>
      <c r="E23" s="1">
        <f>'밸런스 계산'!X25</f>
        <v>173</v>
      </c>
      <c r="F23" s="1">
        <f>'밸런스 계산'!Y25</f>
        <v>37</v>
      </c>
      <c r="G23" s="1">
        <f>'밸런스 계산'!Z25</f>
        <v>75</v>
      </c>
    </row>
    <row r="24" spans="1:7" x14ac:dyDescent="0.4">
      <c r="A24" s="1">
        <v>23</v>
      </c>
      <c r="B24" s="1">
        <f>'밸런스 계산'!U26</f>
        <v>317</v>
      </c>
      <c r="C24" s="1">
        <f>'밸런스 계산'!V26</f>
        <v>28</v>
      </c>
      <c r="D24" s="1">
        <f>'밸런스 계산'!W26</f>
        <v>3</v>
      </c>
      <c r="E24" s="1">
        <f>'밸런스 계산'!X26</f>
        <v>177</v>
      </c>
      <c r="F24" s="1">
        <f>'밸런스 계산'!Y26</f>
        <v>41</v>
      </c>
      <c r="G24" s="1">
        <f>'밸런스 계산'!Z26</f>
        <v>79</v>
      </c>
    </row>
    <row r="25" spans="1:7" x14ac:dyDescent="0.4">
      <c r="A25" s="1">
        <v>24</v>
      </c>
      <c r="B25" s="1">
        <f>'밸런스 계산'!U27</f>
        <v>381</v>
      </c>
      <c r="C25" s="1">
        <f>'밸런스 계산'!V27</f>
        <v>29</v>
      </c>
      <c r="D25" s="1">
        <f>'밸런스 계산'!W27</f>
        <v>3</v>
      </c>
      <c r="E25" s="1">
        <f>'밸런스 계산'!X27</f>
        <v>181</v>
      </c>
      <c r="F25" s="1">
        <f>'밸런스 계산'!Y27</f>
        <v>46</v>
      </c>
      <c r="G25" s="1">
        <f>'밸런스 계산'!Z27</f>
        <v>83</v>
      </c>
    </row>
    <row r="26" spans="1:7" x14ac:dyDescent="0.4">
      <c r="A26" s="1">
        <v>25</v>
      </c>
      <c r="B26" s="1">
        <f>'밸런스 계산'!U28</f>
        <v>458</v>
      </c>
      <c r="C26" s="1">
        <f>'밸런스 계산'!V28</f>
        <v>30</v>
      </c>
      <c r="D26" s="1">
        <f>'밸런스 계산'!W28</f>
        <v>3</v>
      </c>
      <c r="E26" s="1">
        <f>'밸런스 계산'!X28</f>
        <v>185</v>
      </c>
      <c r="F26" s="1">
        <f>'밸런스 계산'!Y28</f>
        <v>51</v>
      </c>
      <c r="G26" s="1">
        <f>'밸런스 계산'!Z28</f>
        <v>88</v>
      </c>
    </row>
    <row r="27" spans="1:7" x14ac:dyDescent="0.4">
      <c r="A27" s="1">
        <v>26</v>
      </c>
      <c r="B27" s="1">
        <f>'밸런스 계산'!U29</f>
        <v>550</v>
      </c>
      <c r="C27" s="1">
        <f>'밸런스 계산'!V29</f>
        <v>31</v>
      </c>
      <c r="D27" s="1">
        <f>'밸런스 계산'!W29</f>
        <v>3</v>
      </c>
      <c r="E27" s="1">
        <f>'밸런스 계산'!X29</f>
        <v>189</v>
      </c>
      <c r="F27" s="1">
        <f>'밸런스 계산'!Y29</f>
        <v>57</v>
      </c>
      <c r="G27" s="1">
        <f>'밸런스 계산'!Z29</f>
        <v>93</v>
      </c>
    </row>
    <row r="28" spans="1:7" x14ac:dyDescent="0.4">
      <c r="A28" s="1">
        <v>27</v>
      </c>
      <c r="B28" s="1">
        <f>'밸런스 계산'!U30</f>
        <v>660</v>
      </c>
      <c r="C28" s="1">
        <f>'밸런스 계산'!V30</f>
        <v>32</v>
      </c>
      <c r="D28" s="1">
        <f>'밸런스 계산'!W30</f>
        <v>3</v>
      </c>
      <c r="E28" s="1">
        <f>'밸런스 계산'!X30</f>
        <v>193</v>
      </c>
      <c r="F28" s="1">
        <f>'밸런스 계산'!Y30</f>
        <v>63</v>
      </c>
      <c r="G28" s="1">
        <f>'밸런스 계산'!Z30</f>
        <v>98</v>
      </c>
    </row>
    <row r="29" spans="1:7" x14ac:dyDescent="0.4">
      <c r="A29" s="1">
        <v>28</v>
      </c>
      <c r="B29" s="1">
        <f>'밸런스 계산'!U31</f>
        <v>792</v>
      </c>
      <c r="C29" s="1">
        <f>'밸런스 계산'!V31</f>
        <v>33</v>
      </c>
      <c r="D29" s="1">
        <f>'밸런스 계산'!W31</f>
        <v>3</v>
      </c>
      <c r="E29" s="1">
        <f>'밸런스 계산'!X31</f>
        <v>197</v>
      </c>
      <c r="F29" s="1">
        <f>'밸런스 계산'!Y31</f>
        <v>70</v>
      </c>
      <c r="G29" s="1">
        <f>'밸런스 계산'!Z31</f>
        <v>103</v>
      </c>
    </row>
    <row r="30" spans="1:7" x14ac:dyDescent="0.4">
      <c r="A30" s="1">
        <v>29</v>
      </c>
      <c r="B30" s="1">
        <f>'밸런스 계산'!U32</f>
        <v>951</v>
      </c>
      <c r="C30" s="1">
        <f>'밸런스 계산'!V32</f>
        <v>34</v>
      </c>
      <c r="D30" s="1">
        <f>'밸런스 계산'!W32</f>
        <v>3</v>
      </c>
      <c r="E30" s="1">
        <f>'밸런스 계산'!X32</f>
        <v>201</v>
      </c>
      <c r="F30" s="1">
        <f>'밸런스 계산'!Y32</f>
        <v>77</v>
      </c>
      <c r="G30" s="1">
        <f>'밸런스 계산'!Z32</f>
        <v>109</v>
      </c>
    </row>
    <row r="31" spans="1:7" x14ac:dyDescent="0.4">
      <c r="A31" s="1">
        <v>30</v>
      </c>
      <c r="B31" s="1">
        <f>'밸런스 계산'!U33</f>
        <v>1142</v>
      </c>
      <c r="C31" s="1">
        <f>'밸런스 계산'!V33</f>
        <v>36</v>
      </c>
      <c r="D31" s="1">
        <f>'밸런스 계산'!W33</f>
        <v>3</v>
      </c>
      <c r="E31" s="1">
        <f>'밸런스 계산'!X33</f>
        <v>206</v>
      </c>
      <c r="F31" s="1">
        <f>'밸런스 계산'!Y33</f>
        <v>85</v>
      </c>
      <c r="G31" s="1">
        <f>'밸런스 계산'!Z33</f>
        <v>115</v>
      </c>
    </row>
    <row r="32" spans="1:7" x14ac:dyDescent="0.4">
      <c r="A32" s="1">
        <v>31</v>
      </c>
      <c r="B32" s="1">
        <f>'밸런스 계산'!U34</f>
        <v>1371</v>
      </c>
      <c r="C32" s="1">
        <f>'밸런스 계산'!V34</f>
        <v>38</v>
      </c>
      <c r="D32" s="1">
        <f>'밸런스 계산'!W34</f>
        <v>3</v>
      </c>
      <c r="E32" s="1">
        <f>'밸런스 계산'!X34</f>
        <v>211</v>
      </c>
      <c r="F32" s="1">
        <f>'밸런스 계산'!Y34</f>
        <v>94</v>
      </c>
      <c r="G32" s="1">
        <f>'밸런스 계산'!Z34</f>
        <v>121</v>
      </c>
    </row>
    <row r="33" spans="1:7" x14ac:dyDescent="0.4">
      <c r="A33" s="1">
        <v>32</v>
      </c>
      <c r="B33" s="1">
        <f>'밸런스 계산'!U35</f>
        <v>1646</v>
      </c>
      <c r="C33" s="1">
        <f>'밸런스 계산'!V35</f>
        <v>40</v>
      </c>
      <c r="D33" s="1">
        <f>'밸런스 계산'!W35</f>
        <v>3</v>
      </c>
      <c r="E33" s="1">
        <f>'밸런스 계산'!X35</f>
        <v>216</v>
      </c>
      <c r="F33" s="1">
        <f>'밸런스 계산'!Y35</f>
        <v>104</v>
      </c>
      <c r="G33" s="1">
        <f>'밸런스 계산'!Z35</f>
        <v>128</v>
      </c>
    </row>
    <row r="34" spans="1:7" x14ac:dyDescent="0.4">
      <c r="A34" s="1">
        <v>33</v>
      </c>
      <c r="B34" s="1">
        <f>'밸런스 계산'!U36</f>
        <v>1976</v>
      </c>
      <c r="C34" s="1">
        <f>'밸런스 계산'!V36</f>
        <v>42</v>
      </c>
      <c r="D34" s="1">
        <f>'밸런스 계산'!W36</f>
        <v>3</v>
      </c>
      <c r="E34" s="1">
        <f>'밸런스 계산'!X36</f>
        <v>221</v>
      </c>
      <c r="F34" s="1">
        <f>'밸런스 계산'!Y36</f>
        <v>115</v>
      </c>
      <c r="G34" s="1">
        <f>'밸런스 계산'!Z36</f>
        <v>135</v>
      </c>
    </row>
    <row r="35" spans="1:7" x14ac:dyDescent="0.4">
      <c r="A35" s="1">
        <v>34</v>
      </c>
      <c r="B35" s="1">
        <f>'밸런스 계산'!U37</f>
        <v>2372</v>
      </c>
      <c r="C35" s="1">
        <f>'밸런스 계산'!V37</f>
        <v>44</v>
      </c>
      <c r="D35" s="1">
        <f>'밸런스 계산'!W37</f>
        <v>3</v>
      </c>
      <c r="E35" s="1">
        <f>'밸런스 계산'!X37</f>
        <v>226</v>
      </c>
      <c r="F35" s="1">
        <f>'밸런스 계산'!Y37</f>
        <v>127</v>
      </c>
      <c r="G35" s="1">
        <f>'밸런스 계산'!Z37</f>
        <v>142</v>
      </c>
    </row>
    <row r="36" spans="1:7" x14ac:dyDescent="0.4">
      <c r="A36" s="1">
        <v>35</v>
      </c>
      <c r="B36" s="1">
        <f>'밸런스 계산'!U38</f>
        <v>2847</v>
      </c>
      <c r="C36" s="1">
        <f>'밸런스 계산'!V38</f>
        <v>46</v>
      </c>
      <c r="D36" s="1">
        <f>'밸런스 계산'!W38</f>
        <v>3</v>
      </c>
      <c r="E36" s="1">
        <f>'밸런스 계산'!X38</f>
        <v>231</v>
      </c>
      <c r="F36" s="1">
        <f>'밸런스 계산'!Y38</f>
        <v>140</v>
      </c>
      <c r="G36" s="1">
        <f>'밸런스 계산'!Z38</f>
        <v>150</v>
      </c>
    </row>
    <row r="37" spans="1:7" x14ac:dyDescent="0.4">
      <c r="A37" s="1">
        <v>36</v>
      </c>
      <c r="B37" s="1">
        <f>'밸런스 계산'!U39</f>
        <v>3417</v>
      </c>
      <c r="C37" s="1">
        <f>'밸런스 계산'!V39</f>
        <v>48</v>
      </c>
      <c r="D37" s="1">
        <f>'밸런스 계산'!W39</f>
        <v>3</v>
      </c>
      <c r="E37" s="1">
        <f>'밸런스 계산'!X39</f>
        <v>236</v>
      </c>
      <c r="F37" s="1">
        <f>'밸런스 계산'!Y39</f>
        <v>154</v>
      </c>
      <c r="G37" s="1">
        <f>'밸런스 계산'!Z39</f>
        <v>158</v>
      </c>
    </row>
    <row r="38" spans="1:7" x14ac:dyDescent="0.4">
      <c r="A38" s="1">
        <v>37</v>
      </c>
      <c r="B38" s="1">
        <f>'밸런스 계산'!U40</f>
        <v>4101</v>
      </c>
      <c r="C38" s="1">
        <f>'밸런스 계산'!V40</f>
        <v>50</v>
      </c>
      <c r="D38" s="1">
        <f>'밸런스 계산'!W40</f>
        <v>3</v>
      </c>
      <c r="E38" s="1">
        <f>'밸런스 계산'!X40</f>
        <v>241</v>
      </c>
      <c r="F38" s="1">
        <f>'밸런스 계산'!Y40</f>
        <v>170</v>
      </c>
      <c r="G38" s="1">
        <f>'밸런스 계산'!Z40</f>
        <v>166</v>
      </c>
    </row>
    <row r="39" spans="1:7" x14ac:dyDescent="0.4">
      <c r="A39" s="1">
        <v>38</v>
      </c>
      <c r="B39" s="1">
        <f>'밸런스 계산'!U41</f>
        <v>4922</v>
      </c>
      <c r="C39" s="1">
        <f>'밸런스 계산'!V41</f>
        <v>52</v>
      </c>
      <c r="D39" s="1">
        <f>'밸런스 계산'!W41</f>
        <v>3</v>
      </c>
      <c r="E39" s="1">
        <f>'밸런스 계산'!X41</f>
        <v>246</v>
      </c>
      <c r="F39" s="1">
        <f>'밸런스 계산'!Y41</f>
        <v>187</v>
      </c>
      <c r="G39" s="1">
        <f>'밸런스 계산'!Z41</f>
        <v>175</v>
      </c>
    </row>
    <row r="40" spans="1:7" x14ac:dyDescent="0.4">
      <c r="A40" s="1">
        <v>39</v>
      </c>
      <c r="B40" s="1">
        <f>'밸런스 계산'!U42</f>
        <v>5907</v>
      </c>
      <c r="C40" s="1">
        <f>'밸런스 계산'!V42</f>
        <v>54</v>
      </c>
      <c r="D40" s="1">
        <f>'밸런스 계산'!W42</f>
        <v>3</v>
      </c>
      <c r="E40" s="1">
        <f>'밸런스 계산'!X42</f>
        <v>251</v>
      </c>
      <c r="F40" s="1">
        <f>'밸런스 계산'!Y42</f>
        <v>206</v>
      </c>
      <c r="G40" s="1">
        <f>'밸런스 계산'!Z42</f>
        <v>184</v>
      </c>
    </row>
    <row r="41" spans="1:7" x14ac:dyDescent="0.4">
      <c r="A41" s="1">
        <v>40</v>
      </c>
      <c r="B41" s="1">
        <f>'밸런스 계산'!U43</f>
        <v>7089</v>
      </c>
      <c r="C41" s="1">
        <f>'밸런스 계산'!V43</f>
        <v>56</v>
      </c>
      <c r="D41" s="1">
        <f>'밸런스 계산'!W43</f>
        <v>3</v>
      </c>
      <c r="E41" s="1">
        <f>'밸런스 계산'!X43</f>
        <v>257</v>
      </c>
      <c r="F41" s="1">
        <f>'밸런스 계산'!Y43</f>
        <v>227</v>
      </c>
      <c r="G41" s="1">
        <f>'밸런스 계산'!Z43</f>
        <v>194</v>
      </c>
    </row>
    <row r="42" spans="1:7" x14ac:dyDescent="0.4">
      <c r="A42" s="1">
        <v>41</v>
      </c>
      <c r="B42" s="1">
        <f>'밸런스 계산'!U44</f>
        <v>8507</v>
      </c>
      <c r="C42" s="1">
        <f>'밸런스 계산'!V44</f>
        <v>58</v>
      </c>
      <c r="D42" s="1">
        <f>'밸런스 계산'!W44</f>
        <v>3</v>
      </c>
      <c r="E42" s="1">
        <f>'밸런스 계산'!X44</f>
        <v>263</v>
      </c>
      <c r="F42" s="1">
        <f>'밸런스 계산'!Y44</f>
        <v>250</v>
      </c>
      <c r="G42" s="1">
        <f>'밸런스 계산'!Z44</f>
        <v>204</v>
      </c>
    </row>
    <row r="43" spans="1:7" x14ac:dyDescent="0.4">
      <c r="A43" s="1">
        <v>42</v>
      </c>
      <c r="B43" s="1">
        <f>'밸런스 계산'!U45</f>
        <v>10209</v>
      </c>
      <c r="C43" s="1">
        <f>'밸런스 계산'!V45</f>
        <v>60</v>
      </c>
      <c r="D43" s="1">
        <f>'밸런스 계산'!W45</f>
        <v>3</v>
      </c>
      <c r="E43" s="1">
        <f>'밸런스 계산'!X45</f>
        <v>269</v>
      </c>
      <c r="F43" s="1">
        <f>'밸런스 계산'!Y45</f>
        <v>275</v>
      </c>
      <c r="G43" s="1">
        <f>'밸런스 계산'!Z45</f>
        <v>215</v>
      </c>
    </row>
    <row r="44" spans="1:7" x14ac:dyDescent="0.4">
      <c r="A44" s="1">
        <v>43</v>
      </c>
      <c r="B44" s="1">
        <f>'밸런스 계산'!U46</f>
        <v>12251</v>
      </c>
      <c r="C44" s="1">
        <f>'밸런스 계산'!V46</f>
        <v>62</v>
      </c>
      <c r="D44" s="1">
        <f>'밸런스 계산'!W46</f>
        <v>3</v>
      </c>
      <c r="E44" s="1">
        <f>'밸런스 계산'!X46</f>
        <v>275</v>
      </c>
      <c r="F44" s="1">
        <f>'밸런스 계산'!Y46</f>
        <v>303</v>
      </c>
      <c r="G44" s="1">
        <f>'밸런스 계산'!Z46</f>
        <v>226</v>
      </c>
    </row>
    <row r="45" spans="1:7" x14ac:dyDescent="0.4">
      <c r="A45" s="1">
        <v>44</v>
      </c>
      <c r="B45" s="1">
        <f>'밸런스 계산'!U47</f>
        <v>14702</v>
      </c>
      <c r="C45" s="1">
        <f>'밸런스 계산'!V47</f>
        <v>64</v>
      </c>
      <c r="D45" s="1">
        <f>'밸런스 계산'!W47</f>
        <v>3</v>
      </c>
      <c r="E45" s="1">
        <f>'밸런스 계산'!X47</f>
        <v>281</v>
      </c>
      <c r="F45" s="1">
        <f>'밸런스 계산'!Y47</f>
        <v>334</v>
      </c>
      <c r="G45" s="1">
        <f>'밸런스 계산'!Z47</f>
        <v>238</v>
      </c>
    </row>
    <row r="46" spans="1:7" x14ac:dyDescent="0.4">
      <c r="A46" s="1">
        <v>45</v>
      </c>
      <c r="B46" s="1">
        <f>'밸런스 계산'!U48</f>
        <v>17643</v>
      </c>
      <c r="C46" s="1">
        <f>'밸런스 계산'!V48</f>
        <v>66</v>
      </c>
      <c r="D46" s="1">
        <f>'밸런스 계산'!W48</f>
        <v>3</v>
      </c>
      <c r="E46" s="1">
        <f>'밸런스 계산'!X48</f>
        <v>287</v>
      </c>
      <c r="F46" s="1">
        <f>'밸런스 계산'!Y48</f>
        <v>368</v>
      </c>
      <c r="G46" s="1">
        <f>'밸런스 계산'!Z48</f>
        <v>250</v>
      </c>
    </row>
    <row r="47" spans="1:7" x14ac:dyDescent="0.4">
      <c r="A47" s="1">
        <v>46</v>
      </c>
      <c r="B47" s="1">
        <f>'밸런스 계산'!U49</f>
        <v>21172</v>
      </c>
      <c r="C47" s="1">
        <f>'밸런스 계산'!V49</f>
        <v>68</v>
      </c>
      <c r="D47" s="1">
        <f>'밸런스 계산'!W49</f>
        <v>3</v>
      </c>
      <c r="E47" s="1">
        <f>'밸런스 계산'!X49</f>
        <v>293</v>
      </c>
      <c r="F47" s="1">
        <f>'밸런스 계산'!Y49</f>
        <v>405</v>
      </c>
      <c r="G47" s="1">
        <f>'밸런스 계산'!Z49</f>
        <v>263</v>
      </c>
    </row>
    <row r="48" spans="1:7" x14ac:dyDescent="0.4">
      <c r="A48" s="1">
        <v>47</v>
      </c>
      <c r="B48" s="1">
        <f>'밸런스 계산'!U50</f>
        <v>25407</v>
      </c>
      <c r="C48" s="1">
        <f>'밸런스 계산'!V50</f>
        <v>71</v>
      </c>
      <c r="D48" s="1">
        <f>'밸런스 계산'!W50</f>
        <v>3</v>
      </c>
      <c r="E48" s="1">
        <f>'밸런스 계산'!X50</f>
        <v>299</v>
      </c>
      <c r="F48" s="1">
        <f>'밸런스 계산'!Y50</f>
        <v>446</v>
      </c>
      <c r="G48" s="1">
        <f>'밸런스 계산'!Z50</f>
        <v>277</v>
      </c>
    </row>
    <row r="49" spans="1:7" x14ac:dyDescent="0.4">
      <c r="A49" s="1">
        <v>48</v>
      </c>
      <c r="B49" s="1">
        <f>'밸런스 계산'!U51</f>
        <v>30489</v>
      </c>
      <c r="C49" s="1">
        <f>'밸런스 계산'!V51</f>
        <v>74</v>
      </c>
      <c r="D49" s="1">
        <f>'밸런스 계산'!W51</f>
        <v>3</v>
      </c>
      <c r="E49" s="1">
        <f>'밸런스 계산'!X51</f>
        <v>305</v>
      </c>
      <c r="F49" s="1">
        <f>'밸런스 계산'!Y51</f>
        <v>491</v>
      </c>
      <c r="G49" s="1">
        <f>'밸런스 계산'!Z51</f>
        <v>291</v>
      </c>
    </row>
    <row r="50" spans="1:7" x14ac:dyDescent="0.4">
      <c r="A50" s="1">
        <v>49</v>
      </c>
      <c r="B50" s="1">
        <f>'밸런스 계산'!U52</f>
        <v>36587</v>
      </c>
      <c r="C50" s="1">
        <f>'밸런스 계산'!V52</f>
        <v>77</v>
      </c>
      <c r="D50" s="1">
        <f>'밸런스 계산'!W52</f>
        <v>3</v>
      </c>
      <c r="E50" s="1">
        <f>'밸런스 계산'!X52</f>
        <v>312</v>
      </c>
      <c r="F50" s="1">
        <f>'밸런스 계산'!Y52</f>
        <v>541</v>
      </c>
      <c r="G50" s="1">
        <f>'밸런스 계산'!Z52</f>
        <v>306</v>
      </c>
    </row>
    <row r="51" spans="1:7" x14ac:dyDescent="0.4">
      <c r="A51" s="1">
        <v>50</v>
      </c>
      <c r="B51" s="1">
        <f>'밸런스 계산'!U53</f>
        <v>43905</v>
      </c>
      <c r="C51" s="1">
        <f>'밸런스 계산'!V53</f>
        <v>80</v>
      </c>
      <c r="D51" s="1">
        <f>'밸런스 계산'!W53</f>
        <v>3</v>
      </c>
      <c r="E51" s="1">
        <f>'밸런스 계산'!X53</f>
        <v>319</v>
      </c>
      <c r="F51" s="1">
        <f>'밸런스 계산'!Y53</f>
        <v>596</v>
      </c>
      <c r="G51" s="1">
        <f>'밸런스 계산'!Z53</f>
        <v>322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22C0-02C2-49B7-A940-8EB71D9ED9DF}">
  <sheetPr codeName="Sheet3"/>
  <dimension ref="A1:G51"/>
  <sheetViews>
    <sheetView workbookViewId="0">
      <selection activeCell="B2" sqref="B2:G51"/>
    </sheetView>
  </sheetViews>
  <sheetFormatPr defaultRowHeight="17.399999999999999" x14ac:dyDescent="0.4"/>
  <cols>
    <col min="1" max="1" width="29.296875" customWidth="1"/>
    <col min="2" max="2" width="4.3984375" bestFit="1" customWidth="1"/>
    <col min="3" max="3" width="8.19921875" bestFit="1" customWidth="1"/>
  </cols>
  <sheetData>
    <row r="1" spans="1:7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98</v>
      </c>
    </row>
    <row r="2" spans="1:7" x14ac:dyDescent="0.4">
      <c r="A2" s="1">
        <v>1</v>
      </c>
      <c r="B2" s="1">
        <f>'밸런스 계산'!M4</f>
        <v>4</v>
      </c>
      <c r="C2" s="1">
        <f>'밸런스 계산'!N4</f>
        <v>4</v>
      </c>
      <c r="D2" s="1">
        <f>'밸런스 계산'!O4</f>
        <v>3</v>
      </c>
      <c r="E2" s="1">
        <f>'밸런스 계산'!P4</f>
        <v>100</v>
      </c>
      <c r="F2" s="1">
        <f>'밸런스 계산'!Q4</f>
        <v>4</v>
      </c>
      <c r="G2" s="1">
        <f>'밸런스 계산'!R4</f>
        <v>20</v>
      </c>
    </row>
    <row r="3" spans="1:7" x14ac:dyDescent="0.4">
      <c r="A3" s="1">
        <v>2</v>
      </c>
      <c r="B3" s="1">
        <f>'밸런스 계산'!M5</f>
        <v>4</v>
      </c>
      <c r="C3" s="1">
        <f>'밸런스 계산'!N5</f>
        <v>5</v>
      </c>
      <c r="D3" s="1">
        <f>'밸런스 계산'!O5</f>
        <v>3</v>
      </c>
      <c r="E3" s="1">
        <f>'밸런스 계산'!P5</f>
        <v>101</v>
      </c>
      <c r="F3" s="1">
        <f>'밸런스 계산'!Q5</f>
        <v>4</v>
      </c>
      <c r="G3" s="1">
        <f>'밸런스 계산'!R5</f>
        <v>22</v>
      </c>
    </row>
    <row r="4" spans="1:7" x14ac:dyDescent="0.4">
      <c r="A4" s="1">
        <v>3</v>
      </c>
      <c r="B4" s="1">
        <f>'밸런스 계산'!M6</f>
        <v>5</v>
      </c>
      <c r="C4" s="1">
        <f>'밸런스 계산'!N6</f>
        <v>6</v>
      </c>
      <c r="D4" s="1">
        <f>'밸런스 계산'!O6</f>
        <v>3</v>
      </c>
      <c r="E4" s="1">
        <f>'밸런스 계산'!P6</f>
        <v>102</v>
      </c>
      <c r="F4" s="1">
        <f>'밸런스 계산'!Q6</f>
        <v>4</v>
      </c>
      <c r="G4" s="1">
        <f>'밸런스 계산'!R6</f>
        <v>24</v>
      </c>
    </row>
    <row r="5" spans="1:7" x14ac:dyDescent="0.4">
      <c r="A5" s="1">
        <v>4</v>
      </c>
      <c r="B5" s="1">
        <f>'밸런스 계산'!M7</f>
        <v>5</v>
      </c>
      <c r="C5" s="1">
        <f>'밸런스 계산'!N7</f>
        <v>7</v>
      </c>
      <c r="D5" s="1">
        <f>'밸런스 계산'!O7</f>
        <v>3</v>
      </c>
      <c r="E5" s="1">
        <f>'밸런스 계산'!P7</f>
        <v>103</v>
      </c>
      <c r="F5" s="1">
        <f>'밸런스 계산'!Q7</f>
        <v>4</v>
      </c>
      <c r="G5" s="1">
        <f>'밸런스 계산'!R7</f>
        <v>26</v>
      </c>
    </row>
    <row r="6" spans="1:7" x14ac:dyDescent="0.4">
      <c r="A6" s="1">
        <v>5</v>
      </c>
      <c r="B6" s="1">
        <f>'밸런스 계산'!M8</f>
        <v>5</v>
      </c>
      <c r="C6" s="1">
        <f>'밸런스 계산'!N8</f>
        <v>8</v>
      </c>
      <c r="D6" s="1">
        <f>'밸런스 계산'!O8</f>
        <v>3</v>
      </c>
      <c r="E6" s="1">
        <f>'밸런스 계산'!P8</f>
        <v>104</v>
      </c>
      <c r="F6" s="1">
        <f>'밸런스 계산'!Q8</f>
        <v>4</v>
      </c>
      <c r="G6" s="1">
        <f>'밸런스 계산'!R8</f>
        <v>28</v>
      </c>
    </row>
    <row r="7" spans="1:7" x14ac:dyDescent="0.4">
      <c r="A7" s="1">
        <v>6</v>
      </c>
      <c r="B7" s="1">
        <f>'밸런스 계산'!M9</f>
        <v>6</v>
      </c>
      <c r="C7" s="1">
        <f>'밸런스 계산'!N9</f>
        <v>9</v>
      </c>
      <c r="D7" s="1">
        <f>'밸런스 계산'!O9</f>
        <v>3</v>
      </c>
      <c r="E7" s="1">
        <f>'밸런스 계산'!P9</f>
        <v>105</v>
      </c>
      <c r="F7" s="1">
        <f>'밸런스 계산'!Q9</f>
        <v>5</v>
      </c>
      <c r="G7" s="1">
        <f>'밸런스 계산'!R9</f>
        <v>30</v>
      </c>
    </row>
    <row r="8" spans="1:7" x14ac:dyDescent="0.4">
      <c r="A8" s="1">
        <v>7</v>
      </c>
      <c r="B8" s="1">
        <f>'밸런스 계산'!M10</f>
        <v>6</v>
      </c>
      <c r="C8" s="1">
        <f>'밸런스 계산'!N10</f>
        <v>10</v>
      </c>
      <c r="D8" s="1">
        <f>'밸런스 계산'!O10</f>
        <v>3</v>
      </c>
      <c r="E8" s="1">
        <f>'밸런스 계산'!P10</f>
        <v>106</v>
      </c>
      <c r="F8" s="1">
        <f>'밸런스 계산'!Q10</f>
        <v>6</v>
      </c>
      <c r="G8" s="1">
        <f>'밸런스 계산'!R10</f>
        <v>32</v>
      </c>
    </row>
    <row r="9" spans="1:7" x14ac:dyDescent="0.4">
      <c r="A9" s="1">
        <v>8</v>
      </c>
      <c r="B9" s="1">
        <f>'밸런스 계산'!M11</f>
        <v>7</v>
      </c>
      <c r="C9" s="1">
        <f>'밸런스 계산'!N11</f>
        <v>11</v>
      </c>
      <c r="D9" s="1">
        <f>'밸런스 계산'!O11</f>
        <v>3</v>
      </c>
      <c r="E9" s="1">
        <f>'밸런스 계산'!P11</f>
        <v>107</v>
      </c>
      <c r="F9" s="1">
        <f>'밸런스 계산'!Q11</f>
        <v>7</v>
      </c>
      <c r="G9" s="1">
        <f>'밸런스 계산'!R11</f>
        <v>34</v>
      </c>
    </row>
    <row r="10" spans="1:7" x14ac:dyDescent="0.4">
      <c r="A10" s="1">
        <v>9</v>
      </c>
      <c r="B10" s="1">
        <f>'밸런스 계산'!M12</f>
        <v>7</v>
      </c>
      <c r="C10" s="1">
        <f>'밸런스 계산'!N12</f>
        <v>12</v>
      </c>
      <c r="D10" s="1">
        <f>'밸런스 계산'!O12</f>
        <v>3</v>
      </c>
      <c r="E10" s="1">
        <f>'밸런스 계산'!P12</f>
        <v>108</v>
      </c>
      <c r="F10" s="1">
        <f>'밸런스 계산'!Q12</f>
        <v>8</v>
      </c>
      <c r="G10" s="1">
        <f>'밸런스 계산'!R12</f>
        <v>36</v>
      </c>
    </row>
    <row r="11" spans="1:7" x14ac:dyDescent="0.4">
      <c r="A11" s="1">
        <v>10</v>
      </c>
      <c r="B11" s="1">
        <f>'밸런스 계산'!M13</f>
        <v>7</v>
      </c>
      <c r="C11" s="1">
        <f>'밸런스 계산'!N13</f>
        <v>13</v>
      </c>
      <c r="D11" s="1">
        <f>'밸런스 계산'!O13</f>
        <v>3</v>
      </c>
      <c r="E11" s="1">
        <f>'밸런스 계산'!P13</f>
        <v>109</v>
      </c>
      <c r="F11" s="1">
        <f>'밸런스 계산'!Q13</f>
        <v>9</v>
      </c>
      <c r="G11" s="1">
        <f>'밸런스 계산'!R13</f>
        <v>38</v>
      </c>
    </row>
    <row r="12" spans="1:7" x14ac:dyDescent="0.4">
      <c r="A12" s="1">
        <v>11</v>
      </c>
      <c r="B12" s="1">
        <f>'밸런스 계산'!M14</f>
        <v>8</v>
      </c>
      <c r="C12" s="1">
        <f>'밸런스 계산'!N14</f>
        <v>15</v>
      </c>
      <c r="D12" s="1">
        <f>'밸런스 계산'!O14</f>
        <v>3</v>
      </c>
      <c r="E12" s="1">
        <f>'밸런스 계산'!P14</f>
        <v>110</v>
      </c>
      <c r="F12" s="1">
        <f>'밸런스 계산'!Q14</f>
        <v>10</v>
      </c>
      <c r="G12" s="1">
        <f>'밸런스 계산'!R14</f>
        <v>40</v>
      </c>
    </row>
    <row r="13" spans="1:7" x14ac:dyDescent="0.4">
      <c r="A13" s="1">
        <v>12</v>
      </c>
      <c r="B13" s="1">
        <f>'밸런스 계산'!M15</f>
        <v>8</v>
      </c>
      <c r="C13" s="1">
        <f>'밸런스 계산'!N15</f>
        <v>17</v>
      </c>
      <c r="D13" s="1">
        <f>'밸런스 계산'!O15</f>
        <v>3</v>
      </c>
      <c r="E13" s="1">
        <f>'밸런스 계산'!P15</f>
        <v>111</v>
      </c>
      <c r="F13" s="1">
        <f>'밸런스 계산'!Q15</f>
        <v>11</v>
      </c>
      <c r="G13" s="1">
        <f>'밸런스 계산'!R15</f>
        <v>42</v>
      </c>
    </row>
    <row r="14" spans="1:7" x14ac:dyDescent="0.4">
      <c r="A14" s="1">
        <v>13</v>
      </c>
      <c r="B14" s="1">
        <f>'밸런스 계산'!M16</f>
        <v>8</v>
      </c>
      <c r="C14" s="1">
        <f>'밸런스 계산'!N16</f>
        <v>19</v>
      </c>
      <c r="D14" s="1">
        <f>'밸런스 계산'!O16</f>
        <v>3</v>
      </c>
      <c r="E14" s="1">
        <f>'밸런스 계산'!P16</f>
        <v>112</v>
      </c>
      <c r="F14" s="1">
        <f>'밸런스 계산'!Q16</f>
        <v>12</v>
      </c>
      <c r="G14" s="1">
        <f>'밸런스 계산'!R16</f>
        <v>44</v>
      </c>
    </row>
    <row r="15" spans="1:7" x14ac:dyDescent="0.4">
      <c r="A15" s="1">
        <v>14</v>
      </c>
      <c r="B15" s="1">
        <f>'밸런스 계산'!M17</f>
        <v>9</v>
      </c>
      <c r="C15" s="1">
        <f>'밸런스 계산'!N17</f>
        <v>22</v>
      </c>
      <c r="D15" s="1">
        <f>'밸런스 계산'!O17</f>
        <v>3</v>
      </c>
      <c r="E15" s="1">
        <f>'밸런스 계산'!P17</f>
        <v>113</v>
      </c>
      <c r="F15" s="1">
        <f>'밸런스 계산'!Q17</f>
        <v>13</v>
      </c>
      <c r="G15" s="1">
        <f>'밸런스 계산'!R17</f>
        <v>46</v>
      </c>
    </row>
    <row r="16" spans="1:7" x14ac:dyDescent="0.4">
      <c r="A16" s="1">
        <v>15</v>
      </c>
      <c r="B16" s="1">
        <f>'밸런스 계산'!M18</f>
        <v>9</v>
      </c>
      <c r="C16" s="1">
        <f>'밸런스 계산'!N18</f>
        <v>25</v>
      </c>
      <c r="D16" s="1">
        <f>'밸런스 계산'!O18</f>
        <v>3</v>
      </c>
      <c r="E16" s="1">
        <f>'밸런스 계산'!P18</f>
        <v>114</v>
      </c>
      <c r="F16" s="1">
        <f>'밸런스 계산'!Q18</f>
        <v>14</v>
      </c>
      <c r="G16" s="1">
        <f>'밸런스 계산'!R18</f>
        <v>48</v>
      </c>
    </row>
    <row r="17" spans="1:7" x14ac:dyDescent="0.4">
      <c r="A17" s="1">
        <v>16</v>
      </c>
      <c r="B17" s="1">
        <f>'밸런스 계산'!M19</f>
        <v>9</v>
      </c>
      <c r="C17" s="1">
        <f>'밸런스 계산'!N19</f>
        <v>28</v>
      </c>
      <c r="D17" s="1">
        <f>'밸런스 계산'!O19</f>
        <v>3</v>
      </c>
      <c r="E17" s="1">
        <f>'밸런스 계산'!P19</f>
        <v>115</v>
      </c>
      <c r="F17" s="1">
        <f>'밸런스 계산'!Q19</f>
        <v>15</v>
      </c>
      <c r="G17" s="1">
        <f>'밸런스 계산'!R19</f>
        <v>50</v>
      </c>
    </row>
    <row r="18" spans="1:7" x14ac:dyDescent="0.4">
      <c r="A18" s="1">
        <v>17</v>
      </c>
      <c r="B18" s="1">
        <f>'밸런스 계산'!M20</f>
        <v>11</v>
      </c>
      <c r="C18" s="1">
        <f>'밸런스 계산'!N20</f>
        <v>31</v>
      </c>
      <c r="D18" s="1">
        <f>'밸런스 계산'!O20</f>
        <v>3</v>
      </c>
      <c r="E18" s="1">
        <f>'밸런스 계산'!P20</f>
        <v>116</v>
      </c>
      <c r="F18" s="1">
        <f>'밸런스 계산'!Q20</f>
        <v>16</v>
      </c>
      <c r="G18" s="1">
        <f>'밸런스 계산'!R20</f>
        <v>52</v>
      </c>
    </row>
    <row r="19" spans="1:7" x14ac:dyDescent="0.4">
      <c r="A19" s="1">
        <v>18</v>
      </c>
      <c r="B19" s="1">
        <f>'밸런스 계산'!M21</f>
        <v>11</v>
      </c>
      <c r="C19" s="1">
        <f>'밸런스 계산'!N21</f>
        <v>34</v>
      </c>
      <c r="D19" s="1">
        <f>'밸런스 계산'!O21</f>
        <v>3</v>
      </c>
      <c r="E19" s="1">
        <f>'밸런스 계산'!P21</f>
        <v>117</v>
      </c>
      <c r="F19" s="1">
        <f>'밸런스 계산'!Q21</f>
        <v>17</v>
      </c>
      <c r="G19" s="1">
        <f>'밸런스 계산'!R21</f>
        <v>54</v>
      </c>
    </row>
    <row r="20" spans="1:7" x14ac:dyDescent="0.4">
      <c r="A20" s="1">
        <v>19</v>
      </c>
      <c r="B20" s="1">
        <f>'밸런스 계산'!M22</f>
        <v>11</v>
      </c>
      <c r="C20" s="1">
        <f>'밸런스 계산'!N22</f>
        <v>37</v>
      </c>
      <c r="D20" s="1">
        <f>'밸런스 계산'!O22</f>
        <v>3</v>
      </c>
      <c r="E20" s="1">
        <f>'밸런스 계산'!P22</f>
        <v>118</v>
      </c>
      <c r="F20" s="1">
        <f>'밸런스 계산'!Q22</f>
        <v>18</v>
      </c>
      <c r="G20" s="1">
        <f>'밸런스 계산'!R22</f>
        <v>56</v>
      </c>
    </row>
    <row r="21" spans="1:7" x14ac:dyDescent="0.4">
      <c r="A21" s="1">
        <v>20</v>
      </c>
      <c r="B21" s="1">
        <f>'밸런스 계산'!M23</f>
        <v>11</v>
      </c>
      <c r="C21" s="1">
        <f>'밸런스 계산'!N23</f>
        <v>40</v>
      </c>
      <c r="D21" s="1">
        <f>'밸런스 계산'!O23</f>
        <v>3</v>
      </c>
      <c r="E21" s="1">
        <f>'밸런스 계산'!P23</f>
        <v>119</v>
      </c>
      <c r="F21" s="1">
        <f>'밸런스 계산'!Q23</f>
        <v>19</v>
      </c>
      <c r="G21" s="1">
        <f>'밸런스 계산'!R23</f>
        <v>58</v>
      </c>
    </row>
    <row r="22" spans="1:7" x14ac:dyDescent="0.4">
      <c r="A22" s="1">
        <v>21</v>
      </c>
      <c r="B22" s="1">
        <f>'밸런스 계산'!M24</f>
        <v>15</v>
      </c>
      <c r="C22" s="1">
        <f>'밸런스 계산'!N24</f>
        <v>44</v>
      </c>
      <c r="D22" s="1">
        <f>'밸런스 계산'!O24</f>
        <v>3</v>
      </c>
      <c r="E22" s="1">
        <f>'밸런스 계산'!P24</f>
        <v>120</v>
      </c>
      <c r="F22" s="1">
        <f>'밸런스 계산'!Q24</f>
        <v>20</v>
      </c>
      <c r="G22" s="1">
        <f>'밸런스 계산'!R24</f>
        <v>60</v>
      </c>
    </row>
    <row r="23" spans="1:7" x14ac:dyDescent="0.4">
      <c r="A23" s="1">
        <v>22</v>
      </c>
      <c r="B23" s="1">
        <f>'밸런스 계산'!M25</f>
        <v>15</v>
      </c>
      <c r="C23" s="1">
        <f>'밸런스 계산'!N25</f>
        <v>48</v>
      </c>
      <c r="D23" s="1">
        <f>'밸런스 계산'!O25</f>
        <v>3</v>
      </c>
      <c r="E23" s="1">
        <f>'밸런스 계산'!P25</f>
        <v>121</v>
      </c>
      <c r="F23" s="1">
        <f>'밸런스 계산'!Q25</f>
        <v>21</v>
      </c>
      <c r="G23" s="1">
        <f>'밸런스 계산'!R25</f>
        <v>62</v>
      </c>
    </row>
    <row r="24" spans="1:7" x14ac:dyDescent="0.4">
      <c r="A24" s="1">
        <v>23</v>
      </c>
      <c r="B24" s="1">
        <f>'밸런스 계산'!M26</f>
        <v>15</v>
      </c>
      <c r="C24" s="1">
        <f>'밸런스 계산'!N26</f>
        <v>52</v>
      </c>
      <c r="D24" s="1">
        <f>'밸런스 계산'!O26</f>
        <v>3</v>
      </c>
      <c r="E24" s="1">
        <f>'밸런스 계산'!P26</f>
        <v>122</v>
      </c>
      <c r="F24" s="1">
        <f>'밸런스 계산'!Q26</f>
        <v>22</v>
      </c>
      <c r="G24" s="1">
        <f>'밸런스 계산'!R26</f>
        <v>64</v>
      </c>
    </row>
    <row r="25" spans="1:7" x14ac:dyDescent="0.4">
      <c r="A25" s="1">
        <v>24</v>
      </c>
      <c r="B25" s="1">
        <f>'밸런스 계산'!M27</f>
        <v>15</v>
      </c>
      <c r="C25" s="1">
        <f>'밸런스 계산'!N27</f>
        <v>56</v>
      </c>
      <c r="D25" s="1">
        <f>'밸런스 계산'!O27</f>
        <v>3</v>
      </c>
      <c r="E25" s="1">
        <f>'밸런스 계산'!P27</f>
        <v>123</v>
      </c>
      <c r="F25" s="1">
        <f>'밸런스 계산'!Q27</f>
        <v>23</v>
      </c>
      <c r="G25" s="1">
        <f>'밸런스 계산'!R27</f>
        <v>66</v>
      </c>
    </row>
    <row r="26" spans="1:7" x14ac:dyDescent="0.4">
      <c r="A26" s="1">
        <v>25</v>
      </c>
      <c r="B26" s="1">
        <f>'밸런스 계산'!M28</f>
        <v>18</v>
      </c>
      <c r="C26" s="1">
        <f>'밸런스 계산'!N28</f>
        <v>60</v>
      </c>
      <c r="D26" s="1">
        <f>'밸런스 계산'!O28</f>
        <v>3</v>
      </c>
      <c r="E26" s="1">
        <f>'밸런스 계산'!P28</f>
        <v>124</v>
      </c>
      <c r="F26" s="1">
        <f>'밸런스 계산'!Q28</f>
        <v>24</v>
      </c>
      <c r="G26" s="1">
        <f>'밸런스 계산'!R28</f>
        <v>68</v>
      </c>
    </row>
    <row r="27" spans="1:7" x14ac:dyDescent="0.4">
      <c r="A27" s="1">
        <v>26</v>
      </c>
      <c r="B27" s="1">
        <f>'밸런스 계산'!M29</f>
        <v>18</v>
      </c>
      <c r="C27" s="1">
        <f>'밸런스 계산'!N29</f>
        <v>65</v>
      </c>
      <c r="D27" s="1">
        <f>'밸런스 계산'!O29</f>
        <v>3</v>
      </c>
      <c r="E27" s="1">
        <f>'밸런스 계산'!P29</f>
        <v>125</v>
      </c>
      <c r="F27" s="1">
        <f>'밸런스 계산'!Q29</f>
        <v>26</v>
      </c>
      <c r="G27" s="1">
        <f>'밸런스 계산'!R29</f>
        <v>70</v>
      </c>
    </row>
    <row r="28" spans="1:7" x14ac:dyDescent="0.4">
      <c r="A28" s="1">
        <v>27</v>
      </c>
      <c r="B28" s="1">
        <f>'밸런스 계산'!M30</f>
        <v>18</v>
      </c>
      <c r="C28" s="1">
        <f>'밸런스 계산'!N30</f>
        <v>70</v>
      </c>
      <c r="D28" s="1">
        <f>'밸런스 계산'!O30</f>
        <v>3</v>
      </c>
      <c r="E28" s="1">
        <f>'밸런스 계산'!P30</f>
        <v>126</v>
      </c>
      <c r="F28" s="1">
        <f>'밸런스 계산'!Q30</f>
        <v>28</v>
      </c>
      <c r="G28" s="1">
        <f>'밸런스 계산'!R30</f>
        <v>72</v>
      </c>
    </row>
    <row r="29" spans="1:7" x14ac:dyDescent="0.4">
      <c r="A29" s="1">
        <v>28</v>
      </c>
      <c r="B29" s="1">
        <f>'밸런스 계산'!M31</f>
        <v>18</v>
      </c>
      <c r="C29" s="1">
        <f>'밸런스 계산'!N31</f>
        <v>75</v>
      </c>
      <c r="D29" s="1">
        <f>'밸런스 계산'!O31</f>
        <v>3</v>
      </c>
      <c r="E29" s="1">
        <f>'밸런스 계산'!P31</f>
        <v>127</v>
      </c>
      <c r="F29" s="1">
        <f>'밸런스 계산'!Q31</f>
        <v>30</v>
      </c>
      <c r="G29" s="1">
        <f>'밸런스 계산'!R31</f>
        <v>74</v>
      </c>
    </row>
    <row r="30" spans="1:7" x14ac:dyDescent="0.4">
      <c r="A30" s="1">
        <v>29</v>
      </c>
      <c r="B30" s="1">
        <f>'밸런스 계산'!M32</f>
        <v>18</v>
      </c>
      <c r="C30" s="1">
        <f>'밸런스 계산'!N32</f>
        <v>80</v>
      </c>
      <c r="D30" s="1">
        <f>'밸런스 계산'!O32</f>
        <v>3</v>
      </c>
      <c r="E30" s="1">
        <f>'밸런스 계산'!P32</f>
        <v>128</v>
      </c>
      <c r="F30" s="1">
        <f>'밸런스 계산'!Q32</f>
        <v>32</v>
      </c>
      <c r="G30" s="1">
        <f>'밸런스 계산'!R32</f>
        <v>76</v>
      </c>
    </row>
    <row r="31" spans="1:7" x14ac:dyDescent="0.4">
      <c r="A31" s="1">
        <v>30</v>
      </c>
      <c r="B31" s="1">
        <f>'밸런스 계산'!M33</f>
        <v>18</v>
      </c>
      <c r="C31" s="1">
        <f>'밸런스 계산'!N33</f>
        <v>86</v>
      </c>
      <c r="D31" s="1">
        <f>'밸런스 계산'!O33</f>
        <v>3</v>
      </c>
      <c r="E31" s="1">
        <f>'밸런스 계산'!P33</f>
        <v>129</v>
      </c>
      <c r="F31" s="1">
        <f>'밸런스 계산'!Q33</f>
        <v>34</v>
      </c>
      <c r="G31" s="1">
        <f>'밸런스 계산'!R33</f>
        <v>78</v>
      </c>
    </row>
    <row r="32" spans="1:7" x14ac:dyDescent="0.4">
      <c r="A32" s="1">
        <v>31</v>
      </c>
      <c r="B32" s="1">
        <f>'밸런스 계산'!M34</f>
        <v>18</v>
      </c>
      <c r="C32" s="1">
        <f>'밸런스 계산'!N34</f>
        <v>96</v>
      </c>
      <c r="D32" s="1">
        <f>'밸런스 계산'!O34</f>
        <v>3</v>
      </c>
      <c r="E32" s="1">
        <f>'밸런스 계산'!P34</f>
        <v>130</v>
      </c>
      <c r="F32" s="1">
        <f>'밸런스 계산'!Q34</f>
        <v>37</v>
      </c>
      <c r="G32" s="1">
        <f>'밸런스 계산'!R34</f>
        <v>80</v>
      </c>
    </row>
    <row r="33" spans="1:7" x14ac:dyDescent="0.4">
      <c r="A33" s="1">
        <v>32</v>
      </c>
      <c r="B33" s="1">
        <f>'밸런스 계산'!M35</f>
        <v>22</v>
      </c>
      <c r="C33" s="1">
        <f>'밸런스 계산'!N35</f>
        <v>106</v>
      </c>
      <c r="D33" s="1">
        <f>'밸런스 계산'!O35</f>
        <v>3</v>
      </c>
      <c r="E33" s="1">
        <f>'밸런스 계산'!P35</f>
        <v>131</v>
      </c>
      <c r="F33" s="1">
        <f>'밸런스 계산'!Q35</f>
        <v>40</v>
      </c>
      <c r="G33" s="1">
        <f>'밸런스 계산'!R35</f>
        <v>82</v>
      </c>
    </row>
    <row r="34" spans="1:7" x14ac:dyDescent="0.4">
      <c r="A34" s="1">
        <v>33</v>
      </c>
      <c r="B34" s="1">
        <f>'밸런스 계산'!M36</f>
        <v>22</v>
      </c>
      <c r="C34" s="1">
        <f>'밸런스 계산'!N36</f>
        <v>117</v>
      </c>
      <c r="D34" s="1">
        <f>'밸런스 계산'!O36</f>
        <v>3</v>
      </c>
      <c r="E34" s="1">
        <f>'밸런스 계산'!P36</f>
        <v>132</v>
      </c>
      <c r="F34" s="1">
        <f>'밸런스 계산'!Q36</f>
        <v>43</v>
      </c>
      <c r="G34" s="1">
        <f>'밸런스 계산'!R36</f>
        <v>84</v>
      </c>
    </row>
    <row r="35" spans="1:7" x14ac:dyDescent="0.4">
      <c r="A35" s="1">
        <v>34</v>
      </c>
      <c r="B35" s="1">
        <f>'밸런스 계산'!M37</f>
        <v>22</v>
      </c>
      <c r="C35" s="1">
        <f>'밸런스 계산'!N37</f>
        <v>129</v>
      </c>
      <c r="D35" s="1">
        <f>'밸런스 계산'!O37</f>
        <v>3</v>
      </c>
      <c r="E35" s="1">
        <f>'밸런스 계산'!P37</f>
        <v>133</v>
      </c>
      <c r="F35" s="1">
        <f>'밸런스 계산'!Q37</f>
        <v>46</v>
      </c>
      <c r="G35" s="1">
        <f>'밸런스 계산'!R37</f>
        <v>86</v>
      </c>
    </row>
    <row r="36" spans="1:7" x14ac:dyDescent="0.4">
      <c r="A36" s="1">
        <v>35</v>
      </c>
      <c r="B36" s="1">
        <f>'밸런스 계산'!M38</f>
        <v>22</v>
      </c>
      <c r="C36" s="1">
        <f>'밸런스 계산'!N38</f>
        <v>142</v>
      </c>
      <c r="D36" s="1">
        <f>'밸런스 계산'!O38</f>
        <v>3</v>
      </c>
      <c r="E36" s="1">
        <f>'밸런스 계산'!P38</f>
        <v>134</v>
      </c>
      <c r="F36" s="1">
        <f>'밸런스 계산'!Q38</f>
        <v>49</v>
      </c>
      <c r="G36" s="1">
        <f>'밸런스 계산'!R38</f>
        <v>88</v>
      </c>
    </row>
    <row r="37" spans="1:7" x14ac:dyDescent="0.4">
      <c r="A37" s="1">
        <v>36</v>
      </c>
      <c r="B37" s="1">
        <f>'밸런스 계산'!M39</f>
        <v>22</v>
      </c>
      <c r="C37" s="1">
        <f>'밸런스 계산'!N39</f>
        <v>156</v>
      </c>
      <c r="D37" s="1">
        <f>'밸런스 계산'!O39</f>
        <v>3</v>
      </c>
      <c r="E37" s="1">
        <f>'밸런스 계산'!P39</f>
        <v>135</v>
      </c>
      <c r="F37" s="1">
        <f>'밸런스 계산'!Q39</f>
        <v>52</v>
      </c>
      <c r="G37" s="1">
        <f>'밸런스 계산'!R39</f>
        <v>90</v>
      </c>
    </row>
    <row r="38" spans="1:7" x14ac:dyDescent="0.4">
      <c r="A38" s="1">
        <v>37</v>
      </c>
      <c r="B38" s="1">
        <f>'밸런스 계산'!M40</f>
        <v>28</v>
      </c>
      <c r="C38" s="1">
        <f>'밸런스 계산'!N40</f>
        <v>171</v>
      </c>
      <c r="D38" s="1">
        <f>'밸런스 계산'!O40</f>
        <v>3</v>
      </c>
      <c r="E38" s="1">
        <f>'밸런스 계산'!P40</f>
        <v>136</v>
      </c>
      <c r="F38" s="1">
        <f>'밸런스 계산'!Q40</f>
        <v>55</v>
      </c>
      <c r="G38" s="1">
        <f>'밸런스 계산'!R40</f>
        <v>92</v>
      </c>
    </row>
    <row r="39" spans="1:7" x14ac:dyDescent="0.4">
      <c r="A39" s="1">
        <v>38</v>
      </c>
      <c r="B39" s="1">
        <f>'밸런스 계산'!M41</f>
        <v>28</v>
      </c>
      <c r="C39" s="1">
        <f>'밸런스 계산'!N41</f>
        <v>187</v>
      </c>
      <c r="D39" s="1">
        <f>'밸런스 계산'!O41</f>
        <v>3</v>
      </c>
      <c r="E39" s="1">
        <f>'밸런스 계산'!P41</f>
        <v>137</v>
      </c>
      <c r="F39" s="1">
        <f>'밸런스 계산'!Q41</f>
        <v>58</v>
      </c>
      <c r="G39" s="1">
        <f>'밸런스 계산'!R41</f>
        <v>94</v>
      </c>
    </row>
    <row r="40" spans="1:7" x14ac:dyDescent="0.4">
      <c r="A40" s="1">
        <v>39</v>
      </c>
      <c r="B40" s="1">
        <f>'밸런스 계산'!M42</f>
        <v>28</v>
      </c>
      <c r="C40" s="1">
        <f>'밸런스 계산'!N42</f>
        <v>205</v>
      </c>
      <c r="D40" s="1">
        <f>'밸런스 계산'!O42</f>
        <v>3</v>
      </c>
      <c r="E40" s="1">
        <f>'밸런스 계산'!P42</f>
        <v>138</v>
      </c>
      <c r="F40" s="1">
        <f>'밸런스 계산'!Q42</f>
        <v>61</v>
      </c>
      <c r="G40" s="1">
        <f>'밸런스 계산'!R42</f>
        <v>96</v>
      </c>
    </row>
    <row r="41" spans="1:7" x14ac:dyDescent="0.4">
      <c r="A41" s="1">
        <v>40</v>
      </c>
      <c r="B41" s="1">
        <f>'밸런스 계산'!M43</f>
        <v>28</v>
      </c>
      <c r="C41" s="1">
        <f>'밸런스 계산'!N43</f>
        <v>224</v>
      </c>
      <c r="D41" s="1">
        <f>'밸런스 계산'!O43</f>
        <v>3</v>
      </c>
      <c r="E41" s="1">
        <f>'밸런스 계산'!P43</f>
        <v>139</v>
      </c>
      <c r="F41" s="1">
        <f>'밸런스 계산'!Q43</f>
        <v>64</v>
      </c>
      <c r="G41" s="1">
        <f>'밸런스 계산'!R43</f>
        <v>98</v>
      </c>
    </row>
    <row r="42" spans="1:7" x14ac:dyDescent="0.4">
      <c r="A42" s="1">
        <v>41</v>
      </c>
      <c r="B42" s="1">
        <f>'밸런스 계산'!M44</f>
        <v>28</v>
      </c>
      <c r="C42" s="1">
        <f>'밸런스 계산'!N44</f>
        <v>249</v>
      </c>
      <c r="D42" s="1">
        <f>'밸런스 계산'!O44</f>
        <v>3</v>
      </c>
      <c r="E42" s="1">
        <f>'밸런스 계산'!P44</f>
        <v>140</v>
      </c>
      <c r="F42" s="1">
        <f>'밸런스 계산'!Q44</f>
        <v>69</v>
      </c>
      <c r="G42" s="1">
        <f>'밸런스 계산'!R44</f>
        <v>100</v>
      </c>
    </row>
    <row r="43" spans="1:7" x14ac:dyDescent="0.4">
      <c r="A43" s="1">
        <v>42</v>
      </c>
      <c r="B43" s="1">
        <f>'밸런스 계산'!M45</f>
        <v>28</v>
      </c>
      <c r="C43" s="1">
        <f>'밸런스 계산'!N45</f>
        <v>277</v>
      </c>
      <c r="D43" s="1">
        <f>'밸런스 계산'!O45</f>
        <v>3</v>
      </c>
      <c r="E43" s="1">
        <f>'밸런스 계산'!P45</f>
        <v>141</v>
      </c>
      <c r="F43" s="1">
        <f>'밸런스 계산'!Q45</f>
        <v>74</v>
      </c>
      <c r="G43" s="1">
        <f>'밸런스 계산'!R45</f>
        <v>102</v>
      </c>
    </row>
    <row r="44" spans="1:7" x14ac:dyDescent="0.4">
      <c r="A44" s="1">
        <v>43</v>
      </c>
      <c r="B44" s="1">
        <f>'밸런스 계산'!M46</f>
        <v>28</v>
      </c>
      <c r="C44" s="1">
        <f>'밸런스 계산'!N46</f>
        <v>308</v>
      </c>
      <c r="D44" s="1">
        <f>'밸런스 계산'!O46</f>
        <v>3</v>
      </c>
      <c r="E44" s="1">
        <f>'밸런스 계산'!P46</f>
        <v>142</v>
      </c>
      <c r="F44" s="1">
        <f>'밸런스 계산'!Q46</f>
        <v>80</v>
      </c>
      <c r="G44" s="1">
        <f>'밸런스 계산'!R46</f>
        <v>104</v>
      </c>
    </row>
    <row r="45" spans="1:7" x14ac:dyDescent="0.4">
      <c r="A45" s="1">
        <v>44</v>
      </c>
      <c r="B45" s="1">
        <f>'밸런스 계산'!M47</f>
        <v>36</v>
      </c>
      <c r="C45" s="1">
        <f>'밸런스 계산'!N47</f>
        <v>342</v>
      </c>
      <c r="D45" s="1">
        <f>'밸런스 계산'!O47</f>
        <v>3</v>
      </c>
      <c r="E45" s="1">
        <f>'밸런스 계산'!P47</f>
        <v>143</v>
      </c>
      <c r="F45" s="1">
        <f>'밸런스 계산'!Q47</f>
        <v>86</v>
      </c>
      <c r="G45" s="1">
        <f>'밸런스 계산'!R47</f>
        <v>106</v>
      </c>
    </row>
    <row r="46" spans="1:7" x14ac:dyDescent="0.4">
      <c r="A46" s="1">
        <v>45</v>
      </c>
      <c r="B46" s="1">
        <f>'밸런스 계산'!M48</f>
        <v>36</v>
      </c>
      <c r="C46" s="1">
        <f>'밸런스 계산'!N48</f>
        <v>379</v>
      </c>
      <c r="D46" s="1">
        <f>'밸런스 계산'!O48</f>
        <v>3</v>
      </c>
      <c r="E46" s="1">
        <f>'밸런스 계산'!P48</f>
        <v>144</v>
      </c>
      <c r="F46" s="1">
        <f>'밸런스 계산'!Q48</f>
        <v>92</v>
      </c>
      <c r="G46" s="1">
        <f>'밸런스 계산'!R48</f>
        <v>108</v>
      </c>
    </row>
    <row r="47" spans="1:7" x14ac:dyDescent="0.4">
      <c r="A47" s="1">
        <v>46</v>
      </c>
      <c r="B47" s="1">
        <f>'밸런스 계산'!M49</f>
        <v>36</v>
      </c>
      <c r="C47" s="1">
        <f>'밸런스 계산'!N49</f>
        <v>420</v>
      </c>
      <c r="D47" s="1">
        <f>'밸런스 계산'!O49</f>
        <v>3</v>
      </c>
      <c r="E47" s="1">
        <f>'밸런스 계산'!P49</f>
        <v>145</v>
      </c>
      <c r="F47" s="1">
        <f>'밸런스 계산'!Q49</f>
        <v>98</v>
      </c>
      <c r="G47" s="1">
        <f>'밸런스 계산'!R49</f>
        <v>110</v>
      </c>
    </row>
    <row r="48" spans="1:7" x14ac:dyDescent="0.4">
      <c r="A48" s="1">
        <v>47</v>
      </c>
      <c r="B48" s="1">
        <f>'밸런스 계산'!M50</f>
        <v>36</v>
      </c>
      <c r="C48" s="1">
        <f>'밸런스 계산'!N50</f>
        <v>465</v>
      </c>
      <c r="D48" s="1">
        <f>'밸런스 계산'!O50</f>
        <v>3</v>
      </c>
      <c r="E48" s="1">
        <f>'밸런스 계산'!P50</f>
        <v>146</v>
      </c>
      <c r="F48" s="1">
        <f>'밸런스 계산'!Q50</f>
        <v>105</v>
      </c>
      <c r="G48" s="1">
        <f>'밸런스 계산'!R50</f>
        <v>112</v>
      </c>
    </row>
    <row r="49" spans="1:7" x14ac:dyDescent="0.4">
      <c r="A49" s="1">
        <v>48</v>
      </c>
      <c r="B49" s="1">
        <f>'밸런스 계산'!M51</f>
        <v>36</v>
      </c>
      <c r="C49" s="1">
        <f>'밸런스 계산'!N51</f>
        <v>514</v>
      </c>
      <c r="D49" s="1">
        <f>'밸런스 계산'!O51</f>
        <v>3</v>
      </c>
      <c r="E49" s="1">
        <f>'밸런스 계산'!P51</f>
        <v>147</v>
      </c>
      <c r="F49" s="1">
        <f>'밸런스 계산'!Q51</f>
        <v>112</v>
      </c>
      <c r="G49" s="1">
        <f>'밸런스 계산'!R51</f>
        <v>114</v>
      </c>
    </row>
    <row r="50" spans="1:7" x14ac:dyDescent="0.4">
      <c r="A50" s="1">
        <v>49</v>
      </c>
      <c r="B50" s="1">
        <f>'밸런스 계산'!M52</f>
        <v>36</v>
      </c>
      <c r="C50" s="1">
        <f>'밸런스 계산'!N52</f>
        <v>568</v>
      </c>
      <c r="D50" s="1">
        <f>'밸런스 계산'!O52</f>
        <v>3</v>
      </c>
      <c r="E50" s="1">
        <f>'밸런스 계산'!P52</f>
        <v>148</v>
      </c>
      <c r="F50" s="1">
        <f>'밸런스 계산'!Q52</f>
        <v>119</v>
      </c>
      <c r="G50" s="1">
        <f>'밸런스 계산'!R52</f>
        <v>116</v>
      </c>
    </row>
    <row r="51" spans="1:7" x14ac:dyDescent="0.4">
      <c r="A51" s="1">
        <v>50</v>
      </c>
      <c r="B51" s="1">
        <f>'밸런스 계산'!M53</f>
        <v>36</v>
      </c>
      <c r="C51" s="1">
        <f>'밸런스 계산'!N53</f>
        <v>628</v>
      </c>
      <c r="D51" s="1">
        <f>'밸런스 계산'!O53</f>
        <v>3</v>
      </c>
      <c r="E51" s="1">
        <f>'밸런스 계산'!P53</f>
        <v>149</v>
      </c>
      <c r="F51" s="1">
        <f>'밸런스 계산'!Q53</f>
        <v>126</v>
      </c>
      <c r="G51" s="1">
        <f>'밸런스 계산'!R53</f>
        <v>118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6498-71B1-4E32-B675-F7BA4BC15EB6}">
  <sheetPr codeName="Sheet5"/>
  <dimension ref="A1:F51"/>
  <sheetViews>
    <sheetView workbookViewId="0">
      <selection activeCell="C5" sqref="C5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6.19921875" bestFit="1" customWidth="1"/>
    <col min="5" max="5" width="14.796875" customWidth="1"/>
  </cols>
  <sheetData>
    <row r="1" spans="1:6" ht="33.75" customHeight="1" x14ac:dyDescent="0.4">
      <c r="A1" s="1" t="s">
        <v>0</v>
      </c>
      <c r="B1" s="1" t="s">
        <v>72</v>
      </c>
      <c r="C1" s="1" t="s">
        <v>73</v>
      </c>
      <c r="D1" s="1" t="s">
        <v>74</v>
      </c>
      <c r="E1" s="1" t="s">
        <v>75</v>
      </c>
      <c r="F1" s="1" t="s">
        <v>76</v>
      </c>
    </row>
    <row r="2" spans="1:6" x14ac:dyDescent="0.4">
      <c r="A2" s="1">
        <v>1</v>
      </c>
      <c r="B2" s="1">
        <v>100</v>
      </c>
      <c r="C2" s="1">
        <v>0</v>
      </c>
      <c r="D2" s="1">
        <v>0</v>
      </c>
      <c r="E2" s="1">
        <v>0</v>
      </c>
      <c r="F2" s="1">
        <v>0</v>
      </c>
    </row>
    <row r="3" spans="1:6" x14ac:dyDescent="0.4">
      <c r="A3" s="1">
        <v>2</v>
      </c>
      <c r="B3" s="1">
        <v>100</v>
      </c>
      <c r="C3" s="1">
        <v>0</v>
      </c>
      <c r="D3" s="1">
        <v>0</v>
      </c>
      <c r="E3" s="1">
        <v>0</v>
      </c>
      <c r="F3" s="1">
        <v>0</v>
      </c>
    </row>
    <row r="4" spans="1:6" x14ac:dyDescent="0.4">
      <c r="A4" s="1">
        <v>3</v>
      </c>
      <c r="B4" s="1">
        <v>90</v>
      </c>
      <c r="C4" s="1">
        <v>10</v>
      </c>
      <c r="D4" s="1">
        <v>0</v>
      </c>
      <c r="E4" s="1">
        <v>0</v>
      </c>
      <c r="F4" s="1">
        <v>0</v>
      </c>
    </row>
    <row r="5" spans="1:6" x14ac:dyDescent="0.4">
      <c r="A5" s="1">
        <v>4</v>
      </c>
      <c r="B5" s="1">
        <v>90</v>
      </c>
      <c r="C5" s="1">
        <v>10</v>
      </c>
      <c r="D5" s="1">
        <v>0</v>
      </c>
      <c r="E5" s="1">
        <v>0</v>
      </c>
      <c r="F5" s="1">
        <v>0</v>
      </c>
    </row>
    <row r="6" spans="1:6" x14ac:dyDescent="0.4">
      <c r="A6" s="1">
        <v>5</v>
      </c>
      <c r="B6" s="1">
        <v>90</v>
      </c>
      <c r="C6" s="1">
        <v>10</v>
      </c>
      <c r="D6" s="1">
        <v>0</v>
      </c>
      <c r="E6" s="1">
        <v>0</v>
      </c>
      <c r="F6" s="1">
        <v>0</v>
      </c>
    </row>
    <row r="7" spans="1:6" x14ac:dyDescent="0.4">
      <c r="A7" s="1">
        <v>6</v>
      </c>
      <c r="B7" s="1">
        <v>80</v>
      </c>
      <c r="C7" s="1">
        <v>20</v>
      </c>
      <c r="D7" s="1">
        <v>0</v>
      </c>
      <c r="E7" s="1">
        <v>0</v>
      </c>
      <c r="F7" s="1">
        <v>0</v>
      </c>
    </row>
    <row r="8" spans="1:6" x14ac:dyDescent="0.4">
      <c r="A8" s="1">
        <v>7</v>
      </c>
      <c r="B8" s="1">
        <v>80</v>
      </c>
      <c r="C8" s="1">
        <v>20</v>
      </c>
      <c r="D8" s="1">
        <v>0</v>
      </c>
      <c r="E8" s="1">
        <v>0</v>
      </c>
      <c r="F8" s="1">
        <v>0</v>
      </c>
    </row>
    <row r="9" spans="1:6" x14ac:dyDescent="0.4">
      <c r="A9" s="1">
        <v>8</v>
      </c>
      <c r="B9" s="1">
        <v>80</v>
      </c>
      <c r="C9" s="1">
        <v>20</v>
      </c>
      <c r="D9" s="1">
        <v>0</v>
      </c>
      <c r="E9" s="1">
        <v>0</v>
      </c>
      <c r="F9" s="1">
        <v>0</v>
      </c>
    </row>
    <row r="10" spans="1:6" x14ac:dyDescent="0.4">
      <c r="A10" s="1">
        <v>9</v>
      </c>
      <c r="B10" s="1">
        <v>70</v>
      </c>
      <c r="C10" s="1">
        <v>30</v>
      </c>
      <c r="D10" s="1">
        <v>0</v>
      </c>
      <c r="E10" s="1">
        <v>0</v>
      </c>
      <c r="F10" s="1">
        <v>0</v>
      </c>
    </row>
    <row r="11" spans="1:6" x14ac:dyDescent="0.4">
      <c r="A11" s="1">
        <v>10</v>
      </c>
      <c r="B11" s="1">
        <v>70</v>
      </c>
      <c r="C11" s="1">
        <v>30</v>
      </c>
      <c r="D11" s="1">
        <v>0</v>
      </c>
      <c r="E11" s="1">
        <v>0</v>
      </c>
      <c r="F11" s="1">
        <v>0</v>
      </c>
    </row>
    <row r="12" spans="1:6" x14ac:dyDescent="0.4">
      <c r="A12" s="1">
        <v>11</v>
      </c>
      <c r="B12" s="1">
        <v>70</v>
      </c>
      <c r="C12" s="1">
        <v>30</v>
      </c>
      <c r="D12" s="1">
        <v>0</v>
      </c>
      <c r="E12" s="1">
        <v>0</v>
      </c>
      <c r="F12" s="1">
        <v>0</v>
      </c>
    </row>
    <row r="13" spans="1:6" x14ac:dyDescent="0.4">
      <c r="A13" s="1">
        <v>12</v>
      </c>
      <c r="B13" s="1">
        <v>50</v>
      </c>
      <c r="C13" s="1">
        <v>40</v>
      </c>
      <c r="D13" s="1">
        <v>10</v>
      </c>
      <c r="E13" s="1">
        <v>0</v>
      </c>
      <c r="F13" s="1">
        <v>0</v>
      </c>
    </row>
    <row r="14" spans="1:6" x14ac:dyDescent="0.4">
      <c r="A14" s="1">
        <v>13</v>
      </c>
      <c r="B14" s="1">
        <v>50</v>
      </c>
      <c r="C14" s="1">
        <v>40</v>
      </c>
      <c r="D14" s="1">
        <v>10</v>
      </c>
      <c r="E14" s="1">
        <v>0</v>
      </c>
      <c r="F14" s="1">
        <v>0</v>
      </c>
    </row>
    <row r="15" spans="1:6" x14ac:dyDescent="0.4">
      <c r="A15" s="1">
        <v>14</v>
      </c>
      <c r="B15" s="1">
        <v>50</v>
      </c>
      <c r="C15" s="1">
        <v>40</v>
      </c>
      <c r="D15" s="1">
        <v>10</v>
      </c>
      <c r="E15" s="1">
        <v>0</v>
      </c>
      <c r="F15" s="1">
        <v>0</v>
      </c>
    </row>
    <row r="16" spans="1:6" x14ac:dyDescent="0.4">
      <c r="A16" s="1">
        <v>15</v>
      </c>
      <c r="B16" s="1">
        <v>50</v>
      </c>
      <c r="C16" s="1">
        <v>40</v>
      </c>
      <c r="D16" s="1">
        <v>10</v>
      </c>
      <c r="E16" s="1">
        <v>0</v>
      </c>
      <c r="F16" s="1">
        <v>0</v>
      </c>
    </row>
    <row r="17" spans="1:6" x14ac:dyDescent="0.4">
      <c r="A17" s="1">
        <v>16</v>
      </c>
      <c r="B17" s="1">
        <v>40</v>
      </c>
      <c r="C17" s="1">
        <v>40</v>
      </c>
      <c r="D17" s="1">
        <v>20</v>
      </c>
      <c r="E17" s="1">
        <v>0</v>
      </c>
      <c r="F17" s="1">
        <v>0</v>
      </c>
    </row>
    <row r="18" spans="1:6" x14ac:dyDescent="0.4">
      <c r="A18" s="1">
        <v>17</v>
      </c>
      <c r="B18" s="1">
        <v>20</v>
      </c>
      <c r="C18" s="1">
        <v>40</v>
      </c>
      <c r="D18" s="1">
        <v>30</v>
      </c>
      <c r="E18" s="1">
        <v>10</v>
      </c>
      <c r="F18" s="1">
        <v>0</v>
      </c>
    </row>
    <row r="19" spans="1:6" x14ac:dyDescent="0.4">
      <c r="A19" s="1">
        <v>18</v>
      </c>
      <c r="B19" s="1">
        <v>20</v>
      </c>
      <c r="C19" s="1">
        <v>40</v>
      </c>
      <c r="D19" s="1">
        <v>30</v>
      </c>
      <c r="E19" s="1">
        <v>10</v>
      </c>
      <c r="F19" s="1">
        <v>0</v>
      </c>
    </row>
    <row r="20" spans="1:6" x14ac:dyDescent="0.4">
      <c r="A20" s="1">
        <v>19</v>
      </c>
      <c r="B20" s="1">
        <v>20</v>
      </c>
      <c r="C20" s="1">
        <v>40</v>
      </c>
      <c r="D20" s="1">
        <v>30</v>
      </c>
      <c r="E20" s="1">
        <v>10</v>
      </c>
      <c r="F20" s="1">
        <v>0</v>
      </c>
    </row>
    <row r="21" spans="1:6" x14ac:dyDescent="0.4">
      <c r="A21" s="1">
        <v>20</v>
      </c>
      <c r="B21" s="1">
        <v>20</v>
      </c>
      <c r="C21" s="1">
        <v>40</v>
      </c>
      <c r="D21" s="1">
        <v>30</v>
      </c>
      <c r="E21" s="1">
        <v>10</v>
      </c>
      <c r="F21" s="1">
        <v>0</v>
      </c>
    </row>
    <row r="22" spans="1:6" x14ac:dyDescent="0.4">
      <c r="A22" s="1">
        <v>21</v>
      </c>
      <c r="B22" s="1">
        <v>20</v>
      </c>
      <c r="C22" s="1">
        <v>40</v>
      </c>
      <c r="D22" s="1">
        <v>30</v>
      </c>
      <c r="E22" s="1">
        <v>10</v>
      </c>
      <c r="F22" s="1">
        <v>0</v>
      </c>
    </row>
    <row r="23" spans="1:6" x14ac:dyDescent="0.4">
      <c r="A23" s="1">
        <v>22</v>
      </c>
      <c r="B23" s="1">
        <v>20</v>
      </c>
      <c r="C23" s="1">
        <v>40</v>
      </c>
      <c r="D23" s="1">
        <v>30</v>
      </c>
      <c r="E23" s="1">
        <v>10</v>
      </c>
      <c r="F23" s="1">
        <v>0</v>
      </c>
    </row>
    <row r="24" spans="1:6" x14ac:dyDescent="0.4">
      <c r="A24" s="1">
        <v>23</v>
      </c>
      <c r="B24" s="1">
        <v>20</v>
      </c>
      <c r="C24" s="1">
        <v>40</v>
      </c>
      <c r="D24" s="1">
        <v>30</v>
      </c>
      <c r="E24" s="1">
        <v>10</v>
      </c>
      <c r="F24" s="1">
        <v>0</v>
      </c>
    </row>
    <row r="25" spans="1:6" x14ac:dyDescent="0.4">
      <c r="A25" s="1">
        <v>24</v>
      </c>
      <c r="B25" s="1">
        <v>20</v>
      </c>
      <c r="C25" s="1">
        <v>40</v>
      </c>
      <c r="D25" s="1">
        <v>30</v>
      </c>
      <c r="E25" s="1">
        <v>10</v>
      </c>
      <c r="F25" s="1">
        <v>0</v>
      </c>
    </row>
    <row r="26" spans="1:6" x14ac:dyDescent="0.4">
      <c r="A26" s="1">
        <v>25</v>
      </c>
      <c r="B26" s="1">
        <v>20</v>
      </c>
      <c r="C26" s="1">
        <v>40</v>
      </c>
      <c r="D26" s="1">
        <v>30</v>
      </c>
      <c r="E26" s="1">
        <v>10</v>
      </c>
      <c r="F26" s="1">
        <v>0</v>
      </c>
    </row>
    <row r="27" spans="1:6" x14ac:dyDescent="0.4">
      <c r="A27" s="1">
        <v>26</v>
      </c>
      <c r="B27" s="1">
        <v>25</v>
      </c>
      <c r="C27" s="1">
        <v>25</v>
      </c>
      <c r="D27" s="1">
        <v>25</v>
      </c>
      <c r="E27" s="1">
        <v>25</v>
      </c>
      <c r="F27" s="1">
        <v>0</v>
      </c>
    </row>
    <row r="28" spans="1:6" x14ac:dyDescent="0.4">
      <c r="A28" s="1">
        <v>27</v>
      </c>
      <c r="B28" s="1">
        <v>25</v>
      </c>
      <c r="C28" s="1">
        <v>25</v>
      </c>
      <c r="D28" s="1">
        <v>25</v>
      </c>
      <c r="E28" s="1">
        <v>25</v>
      </c>
      <c r="F28" s="1">
        <v>0</v>
      </c>
    </row>
    <row r="29" spans="1:6" x14ac:dyDescent="0.4">
      <c r="A29" s="1">
        <v>28</v>
      </c>
      <c r="B29" s="1">
        <v>25</v>
      </c>
      <c r="C29" s="1">
        <v>25</v>
      </c>
      <c r="D29" s="1">
        <v>25</v>
      </c>
      <c r="E29" s="1">
        <v>25</v>
      </c>
      <c r="F29" s="1">
        <v>0</v>
      </c>
    </row>
    <row r="30" spans="1:6" x14ac:dyDescent="0.4">
      <c r="A30" s="1">
        <v>29</v>
      </c>
      <c r="B30" s="1">
        <v>10</v>
      </c>
      <c r="C30" s="1">
        <v>20</v>
      </c>
      <c r="D30" s="1">
        <v>30</v>
      </c>
      <c r="E30" s="1">
        <v>40</v>
      </c>
      <c r="F30" s="1">
        <v>0</v>
      </c>
    </row>
    <row r="31" spans="1:6" x14ac:dyDescent="0.4">
      <c r="A31" s="1">
        <v>30</v>
      </c>
      <c r="B31" s="1">
        <v>10</v>
      </c>
      <c r="C31" s="1">
        <v>20</v>
      </c>
      <c r="D31" s="1">
        <v>30</v>
      </c>
      <c r="E31" s="1">
        <v>40</v>
      </c>
      <c r="F31" s="1">
        <v>0</v>
      </c>
    </row>
    <row r="32" spans="1:6" x14ac:dyDescent="0.4">
      <c r="A32" s="1">
        <v>31</v>
      </c>
      <c r="B32" s="1">
        <v>10</v>
      </c>
      <c r="C32" s="1">
        <v>20</v>
      </c>
      <c r="D32" s="1">
        <v>30</v>
      </c>
      <c r="E32" s="1">
        <v>40</v>
      </c>
      <c r="F32" s="1">
        <v>0</v>
      </c>
    </row>
    <row r="33" spans="1:6" x14ac:dyDescent="0.4">
      <c r="A33" s="1">
        <v>32</v>
      </c>
      <c r="B33" s="1">
        <v>10</v>
      </c>
      <c r="C33" s="1">
        <v>20</v>
      </c>
      <c r="D33" s="1">
        <v>30</v>
      </c>
      <c r="E33" s="1">
        <v>40</v>
      </c>
      <c r="F33" s="1">
        <v>0</v>
      </c>
    </row>
    <row r="34" spans="1:6" x14ac:dyDescent="0.4">
      <c r="A34" s="1">
        <v>33</v>
      </c>
      <c r="B34" s="1">
        <v>10</v>
      </c>
      <c r="C34" s="1">
        <v>20</v>
      </c>
      <c r="D34" s="1">
        <v>30</v>
      </c>
      <c r="E34" s="1">
        <v>40</v>
      </c>
      <c r="F34" s="1">
        <v>0</v>
      </c>
    </row>
    <row r="35" spans="1:6" x14ac:dyDescent="0.4">
      <c r="A35" s="1">
        <v>34</v>
      </c>
      <c r="B35" s="1">
        <v>10</v>
      </c>
      <c r="C35" s="1">
        <v>20</v>
      </c>
      <c r="D35" s="1">
        <v>30</v>
      </c>
      <c r="E35" s="1">
        <v>40</v>
      </c>
      <c r="F35" s="1">
        <v>0</v>
      </c>
    </row>
    <row r="36" spans="1:6" x14ac:dyDescent="0.4">
      <c r="A36" s="1">
        <v>35</v>
      </c>
      <c r="B36" s="1">
        <v>10</v>
      </c>
      <c r="C36" s="1">
        <v>20</v>
      </c>
      <c r="D36" s="1">
        <v>30</v>
      </c>
      <c r="E36" s="1">
        <v>40</v>
      </c>
      <c r="F36" s="1">
        <v>0</v>
      </c>
    </row>
    <row r="37" spans="1:6" x14ac:dyDescent="0.4">
      <c r="A37" s="1">
        <v>36</v>
      </c>
      <c r="B37" s="1">
        <v>10</v>
      </c>
      <c r="C37" s="1">
        <v>10</v>
      </c>
      <c r="D37" s="1">
        <v>30</v>
      </c>
      <c r="E37" s="1">
        <v>50</v>
      </c>
      <c r="F37" s="1">
        <v>0</v>
      </c>
    </row>
    <row r="38" spans="1:6" x14ac:dyDescent="0.4">
      <c r="A38" s="1">
        <v>37</v>
      </c>
      <c r="B38" s="1">
        <v>10</v>
      </c>
      <c r="C38" s="1">
        <v>10</v>
      </c>
      <c r="D38" s="1">
        <v>30</v>
      </c>
      <c r="E38" s="1">
        <v>50</v>
      </c>
      <c r="F38" s="1">
        <v>0</v>
      </c>
    </row>
    <row r="39" spans="1:6" x14ac:dyDescent="0.4">
      <c r="A39" s="1">
        <v>38</v>
      </c>
      <c r="B39" s="1">
        <v>10</v>
      </c>
      <c r="C39" s="1">
        <v>10</v>
      </c>
      <c r="D39" s="1">
        <v>30</v>
      </c>
      <c r="E39" s="1">
        <v>50</v>
      </c>
      <c r="F39" s="1">
        <v>0</v>
      </c>
    </row>
    <row r="40" spans="1:6" x14ac:dyDescent="0.4">
      <c r="A40" s="1">
        <v>39</v>
      </c>
      <c r="B40" s="1">
        <v>10</v>
      </c>
      <c r="C40" s="1">
        <v>10</v>
      </c>
      <c r="D40" s="1">
        <v>30</v>
      </c>
      <c r="E40" s="1">
        <v>50</v>
      </c>
      <c r="F40" s="1">
        <v>0</v>
      </c>
    </row>
    <row r="41" spans="1:6" x14ac:dyDescent="0.4">
      <c r="A41" s="1">
        <v>40</v>
      </c>
      <c r="B41" s="1">
        <v>10</v>
      </c>
      <c r="C41" s="1">
        <v>10</v>
      </c>
      <c r="D41" s="1">
        <v>30</v>
      </c>
      <c r="E41" s="1">
        <v>50</v>
      </c>
      <c r="F41" s="1">
        <v>0</v>
      </c>
    </row>
    <row r="42" spans="1:6" x14ac:dyDescent="0.4">
      <c r="A42" s="1">
        <v>41</v>
      </c>
      <c r="B42" s="1">
        <v>10</v>
      </c>
      <c r="C42" s="1">
        <v>10</v>
      </c>
      <c r="D42" s="1">
        <v>30</v>
      </c>
      <c r="E42" s="1">
        <v>50</v>
      </c>
      <c r="F42" s="1">
        <v>0</v>
      </c>
    </row>
    <row r="43" spans="1:6" x14ac:dyDescent="0.4">
      <c r="A43" s="1">
        <v>42</v>
      </c>
      <c r="B43" s="1">
        <v>10</v>
      </c>
      <c r="C43" s="1">
        <v>10</v>
      </c>
      <c r="D43" s="1">
        <v>30</v>
      </c>
      <c r="E43" s="1">
        <v>50</v>
      </c>
      <c r="F43" s="1">
        <v>0</v>
      </c>
    </row>
    <row r="44" spans="1:6" x14ac:dyDescent="0.4">
      <c r="A44" s="1">
        <v>43</v>
      </c>
      <c r="B44" s="1">
        <v>10</v>
      </c>
      <c r="C44" s="1">
        <v>10</v>
      </c>
      <c r="D44" s="1">
        <v>30</v>
      </c>
      <c r="E44" s="1">
        <v>50</v>
      </c>
      <c r="F44" s="1">
        <v>0</v>
      </c>
    </row>
    <row r="45" spans="1:6" x14ac:dyDescent="0.4">
      <c r="A45" s="1">
        <v>44</v>
      </c>
      <c r="B45" s="1">
        <v>10</v>
      </c>
      <c r="C45" s="1">
        <v>10</v>
      </c>
      <c r="D45" s="1">
        <v>30</v>
      </c>
      <c r="E45" s="1">
        <v>50</v>
      </c>
      <c r="F45" s="1">
        <v>0</v>
      </c>
    </row>
    <row r="46" spans="1:6" x14ac:dyDescent="0.4">
      <c r="A46" s="1">
        <v>45</v>
      </c>
      <c r="B46" s="1">
        <v>10</v>
      </c>
      <c r="C46" s="1">
        <v>10</v>
      </c>
      <c r="D46" s="1">
        <v>30</v>
      </c>
      <c r="E46" s="1">
        <v>50</v>
      </c>
      <c r="F46" s="1">
        <v>0</v>
      </c>
    </row>
    <row r="47" spans="1:6" x14ac:dyDescent="0.4">
      <c r="A47" s="1">
        <v>46</v>
      </c>
      <c r="B47" s="1">
        <v>10</v>
      </c>
      <c r="C47" s="1">
        <v>10</v>
      </c>
      <c r="D47" s="1">
        <v>30</v>
      </c>
      <c r="E47" s="1">
        <v>50</v>
      </c>
      <c r="F47" s="1">
        <v>0</v>
      </c>
    </row>
    <row r="48" spans="1:6" x14ac:dyDescent="0.4">
      <c r="A48" s="1">
        <v>47</v>
      </c>
      <c r="B48" s="1">
        <v>10</v>
      </c>
      <c r="C48" s="1">
        <v>10</v>
      </c>
      <c r="D48" s="1">
        <v>30</v>
      </c>
      <c r="E48" s="1">
        <v>50</v>
      </c>
      <c r="F48" s="1">
        <v>0</v>
      </c>
    </row>
    <row r="49" spans="1:6" x14ac:dyDescent="0.4">
      <c r="A49" s="1">
        <v>48</v>
      </c>
      <c r="B49" s="1">
        <v>10</v>
      </c>
      <c r="C49" s="1">
        <v>10</v>
      </c>
      <c r="D49" s="1">
        <v>30</v>
      </c>
      <c r="E49" s="1">
        <v>50</v>
      </c>
      <c r="F49" s="1">
        <v>0</v>
      </c>
    </row>
    <row r="50" spans="1:6" x14ac:dyDescent="0.4">
      <c r="A50" s="1">
        <v>49</v>
      </c>
      <c r="B50" s="1">
        <v>10</v>
      </c>
      <c r="C50" s="1">
        <v>10</v>
      </c>
      <c r="D50" s="1">
        <v>30</v>
      </c>
      <c r="E50" s="1">
        <v>50</v>
      </c>
      <c r="F50" s="1">
        <v>0</v>
      </c>
    </row>
    <row r="51" spans="1:6" x14ac:dyDescent="0.4">
      <c r="A51" s="1">
        <v>50</v>
      </c>
      <c r="B51" s="1">
        <v>0</v>
      </c>
      <c r="C51" s="1">
        <v>0</v>
      </c>
      <c r="D51" s="1">
        <v>0</v>
      </c>
      <c r="E51" s="1">
        <v>0</v>
      </c>
      <c r="F51" s="1">
        <v>100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41278-F8BB-4EA4-A2EE-062A026725D1}">
  <sheetPr codeName="Sheet6"/>
  <dimension ref="A1:E17"/>
  <sheetViews>
    <sheetView workbookViewId="0">
      <selection activeCell="E7" sqref="E7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5" ht="33.75" customHeight="1" x14ac:dyDescent="0.4">
      <c r="B1" s="1" t="s">
        <v>30</v>
      </c>
      <c r="C1" s="1" t="s">
        <v>31</v>
      </c>
      <c r="D1" s="1" t="s">
        <v>36</v>
      </c>
      <c r="E1" t="s">
        <v>37</v>
      </c>
    </row>
    <row r="2" spans="1:5" x14ac:dyDescent="0.4">
      <c r="A2" s="1" t="s">
        <v>14</v>
      </c>
      <c r="B2" s="1">
        <v>0</v>
      </c>
      <c r="C2" s="1" t="s">
        <v>39</v>
      </c>
      <c r="D2" t="s">
        <v>38</v>
      </c>
      <c r="E2" s="1" t="s">
        <v>40</v>
      </c>
    </row>
    <row r="3" spans="1:5" x14ac:dyDescent="0.4">
      <c r="A3" s="1" t="s">
        <v>15</v>
      </c>
      <c r="B3" s="1">
        <v>1</v>
      </c>
      <c r="C3" s="1" t="s">
        <v>41</v>
      </c>
      <c r="D3" s="1" t="s">
        <v>51</v>
      </c>
      <c r="E3" s="1" t="s">
        <v>40</v>
      </c>
    </row>
    <row r="4" spans="1:5" x14ac:dyDescent="0.4">
      <c r="A4" s="1" t="s">
        <v>16</v>
      </c>
      <c r="B4" s="1">
        <v>2</v>
      </c>
      <c r="C4" s="1" t="s">
        <v>44</v>
      </c>
      <c r="D4" t="s">
        <v>52</v>
      </c>
      <c r="E4" s="1" t="s">
        <v>40</v>
      </c>
    </row>
    <row r="5" spans="1:5" x14ac:dyDescent="0.4">
      <c r="A5" s="1" t="s">
        <v>17</v>
      </c>
      <c r="B5" s="1">
        <v>3</v>
      </c>
      <c r="C5" s="1" t="s">
        <v>43</v>
      </c>
      <c r="D5" s="1" t="s">
        <v>53</v>
      </c>
      <c r="E5" s="1" t="s">
        <v>40</v>
      </c>
    </row>
    <row r="6" spans="1:5" x14ac:dyDescent="0.4">
      <c r="A6" s="1" t="s">
        <v>18</v>
      </c>
      <c r="B6" s="1">
        <v>4</v>
      </c>
      <c r="C6" s="1" t="s">
        <v>42</v>
      </c>
      <c r="D6" s="1" t="s">
        <v>53</v>
      </c>
      <c r="E6" s="1" t="s">
        <v>110</v>
      </c>
    </row>
    <row r="7" spans="1:5" x14ac:dyDescent="0.4">
      <c r="A7" s="1" t="s">
        <v>19</v>
      </c>
      <c r="B7" s="1">
        <v>5</v>
      </c>
      <c r="C7" s="1" t="s">
        <v>55</v>
      </c>
      <c r="D7" s="1" t="s">
        <v>54</v>
      </c>
      <c r="E7" s="1" t="s">
        <v>56</v>
      </c>
    </row>
    <row r="8" spans="1:5" x14ac:dyDescent="0.4">
      <c r="A8" s="1" t="s">
        <v>20</v>
      </c>
      <c r="B8" s="1">
        <v>6</v>
      </c>
      <c r="C8" s="1" t="s">
        <v>45</v>
      </c>
      <c r="D8" s="1" t="s">
        <v>57</v>
      </c>
      <c r="E8" s="1" t="s">
        <v>40</v>
      </c>
    </row>
    <row r="9" spans="1:5" x14ac:dyDescent="0.4">
      <c r="A9" s="1" t="s">
        <v>21</v>
      </c>
      <c r="B9" s="1">
        <v>7</v>
      </c>
      <c r="C9" s="1" t="s">
        <v>46</v>
      </c>
      <c r="D9" s="1" t="s">
        <v>58</v>
      </c>
      <c r="E9" s="1" t="s">
        <v>40</v>
      </c>
    </row>
    <row r="10" spans="1:5" x14ac:dyDescent="0.4">
      <c r="A10" s="1" t="s">
        <v>22</v>
      </c>
      <c r="B10" s="1">
        <v>8</v>
      </c>
      <c r="C10" s="1" t="s">
        <v>32</v>
      </c>
      <c r="D10" s="1" t="s">
        <v>59</v>
      </c>
    </row>
    <row r="11" spans="1:5" x14ac:dyDescent="0.4">
      <c r="A11" s="1" t="s">
        <v>23</v>
      </c>
      <c r="B11" s="1">
        <v>9</v>
      </c>
      <c r="C11" s="1" t="s">
        <v>33</v>
      </c>
      <c r="D11" s="1" t="s">
        <v>60</v>
      </c>
    </row>
    <row r="12" spans="1:5" x14ac:dyDescent="0.4">
      <c r="A12" s="1" t="s">
        <v>24</v>
      </c>
      <c r="B12" s="1">
        <v>10</v>
      </c>
      <c r="C12" s="1" t="s">
        <v>34</v>
      </c>
      <c r="D12" s="1" t="s">
        <v>61</v>
      </c>
    </row>
    <row r="13" spans="1:5" x14ac:dyDescent="0.4">
      <c r="A13" s="1" t="s">
        <v>25</v>
      </c>
      <c r="B13" s="1">
        <v>11</v>
      </c>
      <c r="C13" s="1" t="s">
        <v>35</v>
      </c>
      <c r="D13" s="1" t="s">
        <v>62</v>
      </c>
    </row>
    <row r="14" spans="1:5" x14ac:dyDescent="0.4">
      <c r="A14" s="1" t="s">
        <v>26</v>
      </c>
      <c r="B14" s="1">
        <v>12</v>
      </c>
      <c r="C14" s="1" t="s">
        <v>47</v>
      </c>
      <c r="D14" s="1" t="s">
        <v>63</v>
      </c>
      <c r="E14" s="1" t="s">
        <v>40</v>
      </c>
    </row>
    <row r="15" spans="1:5" x14ac:dyDescent="0.4">
      <c r="A15" s="1" t="s">
        <v>27</v>
      </c>
      <c r="B15" s="1">
        <v>13</v>
      </c>
      <c r="C15" s="1" t="s">
        <v>48</v>
      </c>
      <c r="D15" s="1" t="s">
        <v>64</v>
      </c>
      <c r="E15" s="1" t="s">
        <v>40</v>
      </c>
    </row>
    <row r="16" spans="1:5" x14ac:dyDescent="0.4">
      <c r="A16" s="1" t="s">
        <v>28</v>
      </c>
      <c r="B16" s="1">
        <v>14</v>
      </c>
      <c r="C16" s="1" t="s">
        <v>49</v>
      </c>
      <c r="D16" s="1" t="s">
        <v>65</v>
      </c>
      <c r="E16" s="1" t="s">
        <v>40</v>
      </c>
    </row>
    <row r="17" spans="1:5" x14ac:dyDescent="0.4">
      <c r="A17" s="1" t="s">
        <v>29</v>
      </c>
      <c r="B17" s="1">
        <v>15</v>
      </c>
      <c r="C17" s="1" t="s">
        <v>50</v>
      </c>
      <c r="D17" s="1" t="s">
        <v>66</v>
      </c>
      <c r="E17" s="1" t="s">
        <v>40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밸런스 계산</vt:lpstr>
      <vt:lpstr>DT_Mission</vt:lpstr>
      <vt:lpstr>DT_Status</vt:lpstr>
      <vt:lpstr>DT_Stat_Mon_Skeleton</vt:lpstr>
      <vt:lpstr>DT_Stat_Mon_Ghoul</vt:lpstr>
      <vt:lpstr>DT_Stat_Mon_Gobline</vt:lpstr>
      <vt:lpstr>DT_Spawner</vt:lpstr>
      <vt:lpstr>DT_Upgrade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은준 최</cp:lastModifiedBy>
  <dcterms:created xsi:type="dcterms:W3CDTF">2012-08-21T01:23:22Z</dcterms:created>
  <dcterms:modified xsi:type="dcterms:W3CDTF">2024-02-07T06:03:07Z</dcterms:modified>
</cp:coreProperties>
</file>